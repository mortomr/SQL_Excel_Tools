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polestartechnical-my.sharepoint.com/personal/markjr_morton_polestartechnicalservices_com/Documents/Desktop/"/>
    </mc:Choice>
  </mc:AlternateContent>
  <xr:revisionPtr revIDLastSave="84252" documentId="8_{D5344C44-470D-4B9C-8DE7-B6CDF8C8B68A}" xr6:coauthVersionLast="47" xr6:coauthVersionMax="47" xr10:uidLastSave="{E4B4C30F-FA3B-4E83-BF27-4E67AC8AD1D6}"/>
  <bookViews>
    <workbookView xWindow="-120" yWindow="-120" windowWidth="29040" windowHeight="15840" xr2:uid="{AD6BB73B-965B-43CA-931C-5FF4C009B70F}"/>
  </bookViews>
  <sheets>
    <sheet name="Sheet1" sheetId="1" r:id="rId1"/>
  </sheets>
  <functionGroups builtInGroupCount="19"/>
  <definedNames>
    <definedName name="_xlchart.v1.0" hidden="1">Sheet1!$S$4:$S$1003</definedName>
    <definedName name="_xlchart.v1.1" hidden="1">Sheet1!$S$4:$S$103</definedName>
    <definedName name="_xlchart.v1.2" hidden="1">Sheet1!$S$4:$S$503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I2" i="1"/>
  <c r="J2" i="1"/>
  <c r="H2" i="1" l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O4" i="1"/>
  <c r="O25" i="1"/>
  <c r="O6" i="1"/>
  <c r="N7" i="1"/>
  <c r="O7" i="1" s="1"/>
  <c r="O3" i="1"/>
  <c r="Q3" i="1" s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5" i="1"/>
  <c r="J4" i="1"/>
  <c r="K2" i="1" a="1"/>
  <c r="K2" i="1" l="1"/>
  <c r="H12" i="1"/>
  <c r="K12" i="1" s="1"/>
  <c r="H20" i="1"/>
  <c r="K20" i="1" s="1"/>
  <c r="H6" i="1"/>
  <c r="K6" i="1" s="1"/>
  <c r="H10" i="1"/>
  <c r="K10" i="1" s="1"/>
  <c r="H14" i="1"/>
  <c r="K14" i="1" s="1"/>
  <c r="H22" i="1"/>
  <c r="K22" i="1" s="1"/>
  <c r="H8" i="1"/>
  <c r="K8" i="1" s="1"/>
  <c r="H16" i="1"/>
  <c r="K16" i="1" s="1"/>
  <c r="H9" i="1"/>
  <c r="K9" i="1" s="1"/>
  <c r="H13" i="1"/>
  <c r="K13" i="1" s="1"/>
  <c r="H18" i="1"/>
  <c r="K18" i="1" s="1"/>
  <c r="H7" i="1"/>
  <c r="K7" i="1" s="1"/>
  <c r="H4" i="1"/>
  <c r="K4" i="1" s="1"/>
  <c r="H23" i="1"/>
  <c r="K23" i="1" s="1"/>
  <c r="H19" i="1"/>
  <c r="K19" i="1" s="1"/>
  <c r="H15" i="1"/>
  <c r="K15" i="1" s="1"/>
  <c r="H11" i="1"/>
  <c r="K11" i="1" s="1"/>
  <c r="H21" i="1"/>
  <c r="K21" i="1" s="1"/>
  <c r="H17" i="1"/>
  <c r="K17" i="1" s="1"/>
  <c r="H5" i="1"/>
  <c r="K5" i="1" s="1"/>
  <c r="N8" i="1"/>
  <c r="K1" i="1" l="1"/>
  <c r="N9" i="1"/>
  <c r="O8" i="1"/>
  <c r="N10" i="1" l="1"/>
  <c r="O9" i="1"/>
  <c r="N11" i="1" l="1"/>
  <c r="O10" i="1"/>
  <c r="N12" i="1" l="1"/>
  <c r="O11" i="1"/>
  <c r="N13" i="1" l="1"/>
  <c r="O12" i="1"/>
  <c r="N14" i="1" l="1"/>
  <c r="O13" i="1"/>
  <c r="N15" i="1" l="1"/>
  <c r="O14" i="1"/>
  <c r="N16" i="1" l="1"/>
  <c r="O15" i="1"/>
  <c r="N17" i="1" l="1"/>
  <c r="O16" i="1"/>
  <c r="N18" i="1" l="1"/>
  <c r="O17" i="1"/>
  <c r="N19" i="1" l="1"/>
  <c r="O18" i="1"/>
  <c r="N20" i="1" l="1"/>
  <c r="O19" i="1"/>
  <c r="N21" i="1" l="1"/>
  <c r="O20" i="1"/>
  <c r="N22" i="1" l="1"/>
  <c r="O21" i="1"/>
  <c r="N23" i="1" l="1"/>
  <c r="O22" i="1"/>
  <c r="N24" i="1" l="1"/>
  <c r="O24" i="1" s="1"/>
  <c r="O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<sst xmlns="http://schemas.openxmlformats.org/spreadsheetml/2006/main" count="14" uniqueCount="14">
  <si>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L</t>
  </si>
  <si>
    <t>M</t>
  </si>
  <si>
    <t>H</t>
  </si>
  <si>
    <t>Cum Prob</t>
  </si>
  <si>
    <t>Analysis</t>
  </si>
  <si>
    <t>Counter</t>
  </si>
  <si>
    <t>Iteration</t>
  </si>
  <si>
    <t>Cost</t>
  </si>
  <si>
    <t>Average</t>
  </si>
  <si>
    <t>STD Dev</t>
  </si>
  <si>
    <t>Iterations to run:</t>
  </si>
  <si>
    <t>UDF Example</t>
  </si>
  <si>
    <t>P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</si>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</sst>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[$$-409]* #,##0_);_([$$-409]* \(#,##0\);_([$$-409]* &quot;-&quot;??_);_(@_)"/>
    <numFmt numFmtId="165" formatCode="_(* #,##0_);_(* \(#,##0\);_(* &quot;-&quot;??_);_(@_)"/>
    <numFmt numFmtId="166" formatCode="0.0%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164" fontId="3" fillId="2" borderId="1" xfId="3" applyNumberFormat="1"/>
    <xf numFmtId="164" fontId="0" fillId="0" borderId="0" xfId="0" applyNumberFormat="1"/>
    <xf numFmtId="0" fontId="4" fillId="3" borderId="0" xfId="2" applyFont="1" applyFill="1"/>
    <xf numFmtId="165" fontId="0" fillId="0" borderId="0" xfId="1" applyNumberFormat="1" applyFont="1"/>
    <xf numFmtId="9" fontId="0" fillId="0" borderId="0" xfId="0" applyNumberFormat="1"/>
    <xf numFmtId="166" fontId="0" fillId="0" borderId="0" xfId="0" applyNumberFormat="1"/>
    <xf numFmtId="9" fontId="0" fillId="0" borderId="0" xfId="4" applyFont="1"/>
    <xf numFmtId="0" fontId="0" fillId="0" borderId="0" xfId="0" applyAlignment="1">
      <alignment horizontal="right"/>
    </xf>
    <xf numFmtId="10" fontId="0" fillId="0" borderId="0" xfId="4" applyNumberFormat="1" applyFont="1"/>
  </cellXfs>
  <cellStyles count="5">
    <cellStyle name="Comma" xfId="1" builtinId="3"/>
    <cellStyle name="Heading 4" xfId="2" builtinId="19"/>
    <cellStyle name="Input" xfId="3" builtinId="20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Sheet1!$O$5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Sheet1!$N$6:$N$25</c:f>
              <c:numCache>
                <c:formatCode>0.0%</c:formatCode>
                <c:ptCount val="20"/>
                <c:pt idx="0" formatCode="0%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0.995</c:v>
                </c:pt>
              </c:numCache>
            </c:numRef>
          </c:xVal>
          <c:yVal>
            <c:numRef>
              <c:f>Sheet1!$O$6:$O$25</c:f>
              <c:numCache>
                <c:formatCode>_([$$-409]* #,##0_);_([$$-409]* \(#,##0\);_([$$-409]* "-"??_);_(@_)</c:formatCode>
                <c:ptCount val="20"/>
                <c:pt idx="0">
                  <c:v>2172334.9795058379</c:v>
                </c:pt>
                <c:pt idx="1">
                  <c:v>2303355.5786283803</c:v>
                </c:pt>
                <c:pt idx="2">
                  <c:v>2391733.4655088442</c:v>
                </c:pt>
                <c:pt idx="3">
                  <c:v>2461750.4061581078</c:v>
                </c:pt>
                <c:pt idx="4">
                  <c:v>2538400.8803788349</c:v>
                </c:pt>
                <c:pt idx="5">
                  <c:v>2577648.5484698252</c:v>
                </c:pt>
                <c:pt idx="6">
                  <c:v>2611752.3132267483</c:v>
                </c:pt>
                <c:pt idx="7">
                  <c:v>2652088.8310463065</c:v>
                </c:pt>
                <c:pt idx="8">
                  <c:v>2702040.2966493298</c:v>
                </c:pt>
                <c:pt idx="9">
                  <c:v>2743707.9686630848</c:v>
                </c:pt>
                <c:pt idx="10">
                  <c:v>2794702.6538055316</c:v>
                </c:pt>
                <c:pt idx="11">
                  <c:v>2834060.8701183358</c:v>
                </c:pt>
                <c:pt idx="12">
                  <c:v>2882850.587605265</c:v>
                </c:pt>
                <c:pt idx="13">
                  <c:v>2930444.4506931277</c:v>
                </c:pt>
                <c:pt idx="14">
                  <c:v>2981861.1598228072</c:v>
                </c:pt>
                <c:pt idx="15">
                  <c:v>3040834.3751053098</c:v>
                </c:pt>
                <c:pt idx="16">
                  <c:v>3140322.9699549167</c:v>
                </c:pt>
                <c:pt idx="17">
                  <c:v>3226375.5567864371</c:v>
                </c:pt>
                <c:pt idx="18">
                  <c:v>3334720.4651830564</c:v>
                </c:pt>
                <c:pt idx="19">
                  <c:v>3672913.6933276984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CD-462E-B3E7-08BBACB99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306607"/>
        <c:axId val="1393305167"/>
      </c:scatterChart>
      <c:valAx>
        <c:axId val="1393306607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305167"/>
        <c:crosses val="max"/>
        <c:crossBetween val="midCat"/>
      </c:valAx>
      <c:valAx>
        <c:axId val="139330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,##0_);_([$$-409]* \(#,##0\);_([$$-409]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306607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/>
    <cx:plotArea>
      <cx:plotAreaRegion>
        <cx:series layoutId="clusteredColumn" uniqueId="{4AB902A3-CE5B-430D-8D88-416ECEA3DAF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22411</xdr:colOff>
      <xdr:row>0</xdr:row>
      <xdr:rowOff>33187</xdr:rowOff>
    </xdr:from>
    <xdr:to>
      <xdr:col>21</xdr:col>
      <xdr:colOff>99128</xdr:colOff>
      <xdr:row>1</xdr:row>
      <xdr:rowOff>100853</xdr:rowOff>
    </xdr:to>
    <xdr:sp macro="[0]!MCAnalysis" textlink="">
      <xdr:nvSpPr>
        <xdr:cNvPr id="2" name="Rectangle 1">
          <a:extLst>
            <a:ext uri="{FF2B5EF4-FFF2-40B4-BE49-F238E27FC236}">
              <a16:creationId xmlns:a16="http://schemas.microsoft.com/office/drawing/2014/main" id="{6ACEFF60-402E-9DE2-8D83-81A8F10622C1}"/>
            </a:ext>
          </a:extLst>
        </xdr:cNvPr>
        <xdr:cNvSpPr/>
      </xdr:nvSpPr>
      <xdr:spPr>
        <a:xfrm>
          <a:off x="13525499" y="33187"/>
          <a:ext cx="681835" cy="2581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Demo</a:t>
          </a:r>
        </a:p>
      </xdr:txBody>
    </xdr:sp>
    <xdr:clientData/>
  </xdr:twoCellAnchor>
  <xdr:twoCellAnchor>
    <xdr:from>
      <xdr:col>20</xdr:col>
      <xdr:colOff>18259</xdr:colOff>
      <xdr:row>2</xdr:row>
      <xdr:rowOff>48270</xdr:rowOff>
    </xdr:from>
    <xdr:to>
      <xdr:col>29</xdr:col>
      <xdr:colOff>253999</xdr:colOff>
      <xdr:row>23</xdr:row>
      <xdr:rowOff>183029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F5AB1B9-8B43-4C22-A9E0-0925B2D0F0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62809" y="429270"/>
              <a:ext cx="5722140" cy="4135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0</xdr:row>
      <xdr:rowOff>0</xdr:rowOff>
    </xdr:from>
    <xdr:to>
      <xdr:col>18</xdr:col>
      <xdr:colOff>99129</xdr:colOff>
      <xdr:row>1</xdr:row>
      <xdr:rowOff>67666</xdr:rowOff>
    </xdr:to>
    <xdr:sp macro="[0]!MCFast" textlink="">
      <xdr:nvSpPr>
        <xdr:cNvPr id="5" name="Rectangle 4">
          <a:extLst>
            <a:ext uri="{FF2B5EF4-FFF2-40B4-BE49-F238E27FC236}">
              <a16:creationId xmlns:a16="http://schemas.microsoft.com/office/drawing/2014/main" id="{937E5A8A-1431-47B9-A322-9D08E202570F}"/>
            </a:ext>
          </a:extLst>
        </xdr:cNvPr>
        <xdr:cNvSpPr/>
      </xdr:nvSpPr>
      <xdr:spPr>
        <a:xfrm>
          <a:off x="11530853" y="0"/>
          <a:ext cx="681835" cy="2581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</a:p>
      </xdr:txBody>
    </xdr:sp>
    <xdr:clientData/>
  </xdr:twoCellAnchor>
  <xdr:twoCellAnchor>
    <xdr:from>
      <xdr:col>8</xdr:col>
      <xdr:colOff>446689</xdr:colOff>
      <xdr:row>6</xdr:row>
      <xdr:rowOff>37443</xdr:rowOff>
    </xdr:from>
    <xdr:to>
      <xdr:col>15</xdr:col>
      <xdr:colOff>144517</xdr:colOff>
      <xdr:row>20</xdr:row>
      <xdr:rowOff>113643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FED9ED-7F9D-0026-BA63-654E0D3A0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905DC-1A0D-426D-88BE-BC091D6CC359}">
  <sheetPr codeName="Sheet1"/>
  <dimension ref="G1:S503"/>
  <sheetViews>
    <sheetView tabSelected="1" topLeftCell="D2" zoomScale="145" zoomScaleNormal="145" workbookViewId="0">
      <selection activeCell="Q7" sqref="Q7"/>
    </sheetView>
  </sheetViews>
  <sheetFormatPr defaultRowHeight="15" x14ac:dyDescent="0.25"/>
  <cols>
    <col min="7" max="9" width="11.5703125" bestFit="1" customWidth="1"/>
    <col min="10" max="10" width="9.28515625" bestFit="1" customWidth="1"/>
    <col min="11" max="11" width="11.5703125" bestFit="1" customWidth="1"/>
    <col min="15" max="16" width="13.28515625" bestFit="1" customWidth="1"/>
    <col min="18" max="18" width="8.7109375" bestFit="1" customWidth="1"/>
    <col min="19" max="19" width="11.7109375" customWidth="1"/>
  </cols>
  <sheetData>
    <row r="1" spans="7:19" x14ac:dyDescent="0.25">
      <c r="K1" s="2">
        <f ca="1">SUM(K4:K23)</f>
        <v>2935483.0237991242</v>
      </c>
      <c r="N1" s="8" t="s">
        <v>10</v>
      </c>
      <c r="O1" s="4">
        <v>500</v>
      </c>
    </row>
    <row r="2" spans="7:19" x14ac:dyDescent="0.25">
      <c r="G2" s="1">
        <f ca="1">RANDBETWEEN(1,50000)</f>
        <v>45880</v>
      </c>
      <c r="H2" s="1">
        <f ca="1">I2/3+G2</f>
        <v>79205</v>
      </c>
      <c r="I2" s="1">
        <f ca="1">RANDBETWEEN(50000,500000)</f>
        <v>99975</v>
      </c>
      <c r="J2" s="7">
        <f ca="1">RAND()</f>
        <v>0.99314882716240172</v>
      </c>
      <c r="K2" s="2" cm="1">
        <f t="array" aca="1" ref="K2" ca="1">Risk3Point(G2,H2,I2,J2)</f>
        <v>97200.534858233397</v>
      </c>
      <c r="L2" t="s">
        <v>11</v>
      </c>
      <c r="N2" t="s">
        <v>5</v>
      </c>
      <c r="O2" s="4">
        <v>0</v>
      </c>
    </row>
    <row r="3" spans="7:19" x14ac:dyDescent="0.25">
      <c r="G3" t="s">
        <v>0</v>
      </c>
      <c r="H3" t="s">
        <v>1</v>
      </c>
      <c r="I3" t="s">
        <v>2</v>
      </c>
      <c r="J3" t="s">
        <v>3</v>
      </c>
      <c r="K3" t="s">
        <v>4</v>
      </c>
      <c r="N3" t="s">
        <v>8</v>
      </c>
      <c r="O3" s="2">
        <f>IFERROR(AVERAGE(S4:S50003),0)</f>
        <v>2754961.6783137494</v>
      </c>
      <c r="P3" s="2">
        <v>2757492.0921325791</v>
      </c>
      <c r="Q3" s="9">
        <f>P3/O3</f>
        <v>1.0009184932911221</v>
      </c>
      <c r="R3" s="3" t="s">
        <v>6</v>
      </c>
      <c r="S3" s="3" t="s">
        <v>7</v>
      </c>
    </row>
    <row r="4" spans="7:19" x14ac:dyDescent="0.25">
      <c r="G4" s="1">
        <f ca="1">RANDBETWEEN(1,50000)</f>
        <v>33678</v>
      </c>
      <c r="H4" s="1">
        <f ca="1">I4/3+G4</f>
        <v>77654</v>
      </c>
      <c r="I4" s="1">
        <f ca="1">RANDBETWEEN(50000,500000)</f>
        <v>131928</v>
      </c>
      <c r="J4" s="7">
        <f ca="1">RAND()</f>
        <v>0.94798241110806858</v>
      </c>
      <c r="K4" s="2">
        <f t="shared" ref="K4:K23" ca="1" si="0">IF(J4&lt;((H4-G4)/((H4-G4)+(I4-H4))),(G4+SQRT((J4*(H4-G4)*((H4-G4)+(I4-H4))))),(I4-SQRT((1-J4)*(I4-H4)*((H4-G4)+(I4-H4)))))</f>
        <v>115273.28122819519</v>
      </c>
      <c r="N4" t="s">
        <v>9</v>
      </c>
      <c r="O4" s="2">
        <f>IFERROR(_xlfn.STDEV.S(S4:S50003),0)</f>
        <v>351851.96145364252</v>
      </c>
      <c r="R4">
        <v>1</v>
      </c>
      <c r="S4">
        <v>2736253.7527492889</v>
      </c>
    </row>
    <row r="5" spans="7:19" x14ac:dyDescent="0.25">
      <c r="G5" s="1">
        <f t="shared" ref="G5:G23" ca="1" si="1">RANDBETWEEN(1,50000)</f>
        <v>32107</v>
      </c>
      <c r="H5" s="1">
        <f t="shared" ref="H5:H23" ca="1" si="2">I5/3+G5</f>
        <v>154620</v>
      </c>
      <c r="I5" s="1">
        <f t="shared" ref="I5:I23" ca="1" si="3">RANDBETWEEN(50000,500000)</f>
        <v>367539</v>
      </c>
      <c r="J5" s="7">
        <f ca="1">RAND()</f>
        <v>0.10336228012320581</v>
      </c>
      <c r="K5" s="2">
        <f t="shared" ca="1" si="0"/>
        <v>97280.999613593449</v>
      </c>
      <c r="N5" t="s">
        <v>12</v>
      </c>
      <c r="O5" t="s">
        <v>13</v>
      </c>
      <c r="R5">
        <v>2</v>
      </c>
      <c r="S5">
        <v>3020383.7341482616</v>
      </c>
    </row>
    <row r="6" spans="7:19" x14ac:dyDescent="0.25">
      <c r="G6" s="1">
        <f t="shared" ca="1" si="1"/>
        <v>44919</v>
      </c>
      <c r="H6" s="1">
        <f t="shared" ca="1" si="2"/>
        <v>72950.666666666672</v>
      </c>
      <c r="I6" s="1">
        <f t="shared" ca="1" si="3"/>
        <v>84095</v>
      </c>
      <c r="J6" s="7">
        <f t="shared" ref="J6:J23" ca="1" si="4">RAND()</f>
        <v>5.6703719370915784E-2</v>
      </c>
      <c r="K6" s="2">
        <f t="shared" ca="1" si="0"/>
        <v>52810.149637679686</v>
      </c>
      <c r="N6" s="5">
        <v>0.05</v>
      </c>
      <c r="O6" s="2">
        <f>_xlfn.AGGREGATE(16,2,$S$4:$S$5003,N6)</f>
        <v>2172334.9795058379</v>
      </c>
      <c r="R6">
        <v>3</v>
      </c>
      <c r="S6">
        <v>2791732.1695209248</v>
      </c>
    </row>
    <row r="7" spans="7:19" x14ac:dyDescent="0.25">
      <c r="G7" s="1">
        <f t="shared" ca="1" si="1"/>
        <v>14986</v>
      </c>
      <c r="H7" s="1">
        <f t="shared" ca="1" si="2"/>
        <v>146093</v>
      </c>
      <c r="I7" s="1">
        <f t="shared" ca="1" si="3"/>
        <v>393321</v>
      </c>
      <c r="J7" s="7">
        <f t="shared" ca="1" si="4"/>
        <v>0.97020774570184765</v>
      </c>
      <c r="K7" s="2">
        <f t="shared" ca="1" si="0"/>
        <v>340532.56692929775</v>
      </c>
      <c r="N7" s="6">
        <f>N6+0.05</f>
        <v>0.1</v>
      </c>
      <c r="O7" s="2">
        <f t="shared" ref="O7:O25" si="5">_xlfn.AGGREGATE(16,2,$S$4:$S$5003,N7)</f>
        <v>2303355.5786283803</v>
      </c>
      <c r="R7">
        <v>4</v>
      </c>
      <c r="S7">
        <v>2912980.0060484749</v>
      </c>
    </row>
    <row r="8" spans="7:19" x14ac:dyDescent="0.25">
      <c r="G8" s="1">
        <f t="shared" ca="1" si="1"/>
        <v>37219</v>
      </c>
      <c r="H8" s="1">
        <f t="shared" ca="1" si="2"/>
        <v>60294.666666666672</v>
      </c>
      <c r="I8" s="1">
        <f t="shared" ca="1" si="3"/>
        <v>69227</v>
      </c>
      <c r="J8" s="7">
        <f t="shared" ca="1" si="4"/>
        <v>0.34994535315796271</v>
      </c>
      <c r="K8" s="2">
        <f t="shared" ca="1" si="0"/>
        <v>53296.055577787716</v>
      </c>
      <c r="N8" s="6">
        <f t="shared" ref="N8:N24" si="6">N7+0.05</f>
        <v>0.15000000000000002</v>
      </c>
      <c r="O8" s="2">
        <f t="shared" si="5"/>
        <v>2391733.4655088442</v>
      </c>
      <c r="R8">
        <v>5</v>
      </c>
      <c r="S8">
        <v>2349389.1496158065</v>
      </c>
    </row>
    <row r="9" spans="7:19" x14ac:dyDescent="0.25">
      <c r="G9" s="1">
        <f t="shared" ca="1" si="1"/>
        <v>6901</v>
      </c>
      <c r="H9" s="1">
        <f t="shared" ca="1" si="2"/>
        <v>26842.333333333332</v>
      </c>
      <c r="I9" s="1">
        <f t="shared" ca="1" si="3"/>
        <v>59824</v>
      </c>
      <c r="J9" s="7">
        <f t="shared" ca="1" si="4"/>
        <v>0.62631529599767988</v>
      </c>
      <c r="K9" s="2">
        <f t="shared" ca="1" si="0"/>
        <v>34284.570777429137</v>
      </c>
      <c r="N9" s="6">
        <f t="shared" si="6"/>
        <v>0.2</v>
      </c>
      <c r="O9" s="2">
        <f t="shared" si="5"/>
        <v>2461750.4061581078</v>
      </c>
      <c r="R9">
        <v>6</v>
      </c>
      <c r="S9">
        <v>3008181.8546356829</v>
      </c>
    </row>
    <row r="10" spans="7:19" x14ac:dyDescent="0.25">
      <c r="G10" s="1">
        <f t="shared" ca="1" si="1"/>
        <v>40015</v>
      </c>
      <c r="H10" s="1">
        <f t="shared" ca="1" si="2"/>
        <v>66830</v>
      </c>
      <c r="I10" s="1">
        <f t="shared" ca="1" si="3"/>
        <v>80445</v>
      </c>
      <c r="J10" s="7">
        <f t="shared" ca="1" si="4"/>
        <v>0.36106563859912377</v>
      </c>
      <c r="K10" s="2">
        <f t="shared" ca="1" si="0"/>
        <v>59799.899627089479</v>
      </c>
      <c r="N10" s="6">
        <f t="shared" si="6"/>
        <v>0.25</v>
      </c>
      <c r="O10" s="2">
        <f t="shared" si="5"/>
        <v>2538400.8803788349</v>
      </c>
      <c r="R10">
        <v>7</v>
      </c>
      <c r="S10">
        <v>3417163.6015076619</v>
      </c>
    </row>
    <row r="11" spans="7:19" x14ac:dyDescent="0.25">
      <c r="G11" s="1">
        <f t="shared" ca="1" si="1"/>
        <v>25030</v>
      </c>
      <c r="H11" s="1">
        <f t="shared" ca="1" si="2"/>
        <v>126044.66666666667</v>
      </c>
      <c r="I11" s="1">
        <f t="shared" ca="1" si="3"/>
        <v>303044</v>
      </c>
      <c r="J11" s="7">
        <f t="shared" ca="1" si="4"/>
        <v>0.26718498640094024</v>
      </c>
      <c r="K11" s="2">
        <f t="shared" ca="1" si="0"/>
        <v>111652.67200248197</v>
      </c>
      <c r="N11" s="6">
        <f t="shared" si="6"/>
        <v>0.3</v>
      </c>
      <c r="O11" s="2">
        <f t="shared" si="5"/>
        <v>2577648.5484698252</v>
      </c>
      <c r="R11">
        <v>8</v>
      </c>
      <c r="S11">
        <v>2738993.1463481025</v>
      </c>
    </row>
    <row r="12" spans="7:19" x14ac:dyDescent="0.25">
      <c r="G12" s="1">
        <f t="shared" ca="1" si="1"/>
        <v>40388</v>
      </c>
      <c r="H12" s="1">
        <f t="shared" ca="1" si="2"/>
        <v>196630</v>
      </c>
      <c r="I12" s="1">
        <f t="shared" ca="1" si="3"/>
        <v>468726</v>
      </c>
      <c r="J12" s="7">
        <f t="shared" ca="1" si="4"/>
        <v>0.99551286164503383</v>
      </c>
      <c r="K12" s="2">
        <f t="shared" ca="1" si="0"/>
        <v>445857.42458693724</v>
      </c>
      <c r="N12" s="6">
        <f t="shared" si="6"/>
        <v>0.35</v>
      </c>
      <c r="O12" s="2">
        <f t="shared" si="5"/>
        <v>2611752.3132267483</v>
      </c>
      <c r="R12">
        <v>9</v>
      </c>
      <c r="S12">
        <v>2859676.6469855728</v>
      </c>
    </row>
    <row r="13" spans="7:19" x14ac:dyDescent="0.25">
      <c r="G13" s="1">
        <f t="shared" ca="1" si="1"/>
        <v>22259</v>
      </c>
      <c r="H13" s="1">
        <f t="shared" ca="1" si="2"/>
        <v>181204.33333333334</v>
      </c>
      <c r="I13" s="1">
        <f t="shared" ca="1" si="3"/>
        <v>476836</v>
      </c>
      <c r="J13" s="7">
        <f t="shared" ca="1" si="4"/>
        <v>0.86252454066961648</v>
      </c>
      <c r="K13" s="2">
        <f t="shared" ca="1" si="0"/>
        <v>340913.36202783138</v>
      </c>
      <c r="N13" s="6">
        <f t="shared" si="6"/>
        <v>0.39999999999999997</v>
      </c>
      <c r="O13" s="2">
        <f t="shared" si="5"/>
        <v>2652088.8310463065</v>
      </c>
      <c r="R13">
        <v>10</v>
      </c>
      <c r="S13">
        <v>2953938.5289573614</v>
      </c>
    </row>
    <row r="14" spans="7:19" x14ac:dyDescent="0.25">
      <c r="G14" s="1">
        <f t="shared" ca="1" si="1"/>
        <v>44000</v>
      </c>
      <c r="H14" s="1">
        <f t="shared" ca="1" si="2"/>
        <v>140481.66666666669</v>
      </c>
      <c r="I14" s="1">
        <f t="shared" ca="1" si="3"/>
        <v>289445</v>
      </c>
      <c r="J14" s="7">
        <f t="shared" ca="1" si="4"/>
        <v>0.56129347587441003</v>
      </c>
      <c r="K14" s="2">
        <f t="shared" ca="1" si="0"/>
        <v>162795.3971813691</v>
      </c>
      <c r="N14" s="6">
        <f t="shared" si="6"/>
        <v>0.44999999999999996</v>
      </c>
      <c r="O14" s="2">
        <f t="shared" si="5"/>
        <v>2702040.2966493298</v>
      </c>
      <c r="R14">
        <v>11</v>
      </c>
      <c r="S14">
        <v>2082264.4843824881</v>
      </c>
    </row>
    <row r="15" spans="7:19" x14ac:dyDescent="0.25">
      <c r="G15" s="1">
        <f t="shared" ca="1" si="1"/>
        <v>40310</v>
      </c>
      <c r="H15" s="1">
        <f t="shared" ca="1" si="2"/>
        <v>158030.33333333331</v>
      </c>
      <c r="I15" s="1">
        <f t="shared" ca="1" si="3"/>
        <v>353161</v>
      </c>
      <c r="J15" s="7">
        <f t="shared" ca="1" si="4"/>
        <v>0.18032128820206972</v>
      </c>
      <c r="K15" s="2">
        <f t="shared" ca="1" si="0"/>
        <v>121802.57033274444</v>
      </c>
      <c r="N15" s="6">
        <f t="shared" si="6"/>
        <v>0.49999999999999994</v>
      </c>
      <c r="O15" s="2">
        <f t="shared" si="5"/>
        <v>2743707.9686630848</v>
      </c>
      <c r="R15">
        <v>12</v>
      </c>
      <c r="S15">
        <v>2402737.2226520074</v>
      </c>
    </row>
    <row r="16" spans="7:19" x14ac:dyDescent="0.25">
      <c r="G16" s="1">
        <f t="shared" ca="1" si="1"/>
        <v>46496</v>
      </c>
      <c r="H16" s="1">
        <f t="shared" ca="1" si="2"/>
        <v>141950.33333333331</v>
      </c>
      <c r="I16" s="1">
        <f t="shared" ca="1" si="3"/>
        <v>286363</v>
      </c>
      <c r="J16" s="7">
        <f t="shared" ca="1" si="4"/>
        <v>0.12603168029731437</v>
      </c>
      <c r="K16" s="2">
        <f t="shared" ca="1" si="0"/>
        <v>100214.38399733843</v>
      </c>
      <c r="N16" s="6">
        <f t="shared" si="6"/>
        <v>0.54999999999999993</v>
      </c>
      <c r="O16" s="2">
        <f t="shared" si="5"/>
        <v>2794702.6538055316</v>
      </c>
      <c r="R16">
        <v>13</v>
      </c>
      <c r="S16">
        <v>2445536.3338724836</v>
      </c>
    </row>
    <row r="17" spans="7:19" x14ac:dyDescent="0.25">
      <c r="G17" s="1">
        <f t="shared" ca="1" si="1"/>
        <v>13685</v>
      </c>
      <c r="H17" s="1">
        <f t="shared" ca="1" si="2"/>
        <v>58518.666666666664</v>
      </c>
      <c r="I17" s="1">
        <f t="shared" ca="1" si="3"/>
        <v>134501</v>
      </c>
      <c r="J17" s="7">
        <f t="shared" ca="1" si="4"/>
        <v>0.66168000939818139</v>
      </c>
      <c r="K17" s="2">
        <f t="shared" ca="1" si="0"/>
        <v>78771.85635661814</v>
      </c>
      <c r="N17" s="6">
        <f t="shared" si="6"/>
        <v>0.6</v>
      </c>
      <c r="O17" s="2">
        <f t="shared" si="5"/>
        <v>2834060.8701183358</v>
      </c>
      <c r="R17">
        <v>14</v>
      </c>
      <c r="S17">
        <v>2550181.8268115753</v>
      </c>
    </row>
    <row r="18" spans="7:19" x14ac:dyDescent="0.25">
      <c r="G18" s="1">
        <f t="shared" ca="1" si="1"/>
        <v>14751</v>
      </c>
      <c r="H18" s="1">
        <f t="shared" ca="1" si="2"/>
        <v>60433</v>
      </c>
      <c r="I18" s="1">
        <f t="shared" ca="1" si="3"/>
        <v>137046</v>
      </c>
      <c r="J18" s="7">
        <f t="shared" ca="1" si="4"/>
        <v>0.22712741148547244</v>
      </c>
      <c r="K18" s="2">
        <f t="shared" ca="1" si="0"/>
        <v>50372.45716210761</v>
      </c>
      <c r="N18" s="6">
        <f t="shared" si="6"/>
        <v>0.65</v>
      </c>
      <c r="O18" s="2">
        <f t="shared" si="5"/>
        <v>2882850.587605265</v>
      </c>
      <c r="R18">
        <v>15</v>
      </c>
      <c r="S18">
        <v>2282770.2513304148</v>
      </c>
    </row>
    <row r="19" spans="7:19" x14ac:dyDescent="0.25">
      <c r="G19" s="1">
        <f t="shared" ca="1" si="1"/>
        <v>14335</v>
      </c>
      <c r="H19" s="1">
        <f t="shared" ca="1" si="2"/>
        <v>150675</v>
      </c>
      <c r="I19" s="1">
        <f t="shared" ca="1" si="3"/>
        <v>409020</v>
      </c>
      <c r="J19" s="7">
        <f t="shared" ca="1" si="4"/>
        <v>0.76135812919740509</v>
      </c>
      <c r="K19" s="2">
        <f t="shared" ca="1" si="0"/>
        <v>253029.3156140706</v>
      </c>
      <c r="N19" s="6">
        <f t="shared" si="6"/>
        <v>0.70000000000000007</v>
      </c>
      <c r="O19" s="2">
        <f t="shared" si="5"/>
        <v>2930444.4506931277</v>
      </c>
      <c r="R19">
        <v>16</v>
      </c>
      <c r="S19">
        <v>2373492.7902295068</v>
      </c>
    </row>
    <row r="20" spans="7:19" x14ac:dyDescent="0.25">
      <c r="G20" s="1">
        <f t="shared" ca="1" si="1"/>
        <v>25362</v>
      </c>
      <c r="H20" s="1">
        <f t="shared" ca="1" si="2"/>
        <v>170348.66666666666</v>
      </c>
      <c r="I20" s="1">
        <f t="shared" ca="1" si="3"/>
        <v>434960</v>
      </c>
      <c r="J20" s="7">
        <f t="shared" ca="1" si="4"/>
        <v>0.42546901560633166</v>
      </c>
      <c r="K20" s="2">
        <f t="shared" ca="1" si="0"/>
        <v>185420.17751036744</v>
      </c>
      <c r="N20" s="6">
        <f t="shared" si="6"/>
        <v>0.75000000000000011</v>
      </c>
      <c r="O20" s="2">
        <f t="shared" si="5"/>
        <v>2981861.1598228072</v>
      </c>
      <c r="R20">
        <v>17</v>
      </c>
      <c r="S20">
        <v>2850610.959909101</v>
      </c>
    </row>
    <row r="21" spans="7:19" x14ac:dyDescent="0.25">
      <c r="G21" s="1">
        <f t="shared" ca="1" si="1"/>
        <v>36543</v>
      </c>
      <c r="H21" s="1">
        <f t="shared" ca="1" si="2"/>
        <v>163117.66666666669</v>
      </c>
      <c r="I21" s="1">
        <f t="shared" ca="1" si="3"/>
        <v>379724</v>
      </c>
      <c r="J21" s="7">
        <f t="shared" ca="1" si="4"/>
        <v>0.33316409897162613</v>
      </c>
      <c r="K21" s="2">
        <f t="shared" ca="1" si="0"/>
        <v>156842.58030436881</v>
      </c>
      <c r="N21" s="6">
        <f t="shared" si="6"/>
        <v>0.80000000000000016</v>
      </c>
      <c r="O21" s="2">
        <f t="shared" si="5"/>
        <v>3040834.3751053098</v>
      </c>
      <c r="R21">
        <v>18</v>
      </c>
      <c r="S21">
        <v>2937156.9140027142</v>
      </c>
    </row>
    <row r="22" spans="7:19" x14ac:dyDescent="0.25">
      <c r="G22" s="1">
        <f t="shared" ca="1" si="1"/>
        <v>43913</v>
      </c>
      <c r="H22" s="1">
        <f t="shared" ca="1" si="2"/>
        <v>89679</v>
      </c>
      <c r="I22" s="1">
        <f t="shared" ca="1" si="3"/>
        <v>137298</v>
      </c>
      <c r="J22" s="7">
        <f t="shared" ca="1" si="4"/>
        <v>0.79731532634900504</v>
      </c>
      <c r="K22" s="2">
        <f t="shared" ca="1" si="0"/>
        <v>107276.03239119258</v>
      </c>
      <c r="N22" s="6">
        <f t="shared" si="6"/>
        <v>0.8500000000000002</v>
      </c>
      <c r="O22" s="2">
        <f t="shared" si="5"/>
        <v>3140322.9699549167</v>
      </c>
      <c r="R22">
        <v>19</v>
      </c>
      <c r="S22">
        <v>2909370.7478728029</v>
      </c>
    </row>
    <row r="23" spans="7:19" x14ac:dyDescent="0.25">
      <c r="G23" s="1">
        <f t="shared" ca="1" si="1"/>
        <v>34280</v>
      </c>
      <c r="H23" s="1">
        <f t="shared" ca="1" si="2"/>
        <v>57906</v>
      </c>
      <c r="I23" s="1">
        <f t="shared" ca="1" si="3"/>
        <v>70878</v>
      </c>
      <c r="J23" s="7">
        <f t="shared" ca="1" si="4"/>
        <v>0.97238609907077178</v>
      </c>
      <c r="K23" s="2">
        <f t="shared" ca="1" si="0"/>
        <v>67257.270940624134</v>
      </c>
      <c r="N23" s="6">
        <f t="shared" si="6"/>
        <v>0.90000000000000024</v>
      </c>
      <c r="O23" s="2">
        <f t="shared" si="5"/>
        <v>3226375.5567864371</v>
      </c>
      <c r="R23">
        <v>20</v>
      </c>
      <c r="S23">
        <v>2832975.8303279635</v>
      </c>
    </row>
    <row r="24" spans="7:19" x14ac:dyDescent="0.25">
      <c r="N24" s="6">
        <f t="shared" si="6"/>
        <v>0.95000000000000029</v>
      </c>
      <c r="O24" s="2">
        <f t="shared" si="5"/>
        <v>3334720.4651830564</v>
      </c>
      <c r="R24">
        <v>21</v>
      </c>
      <c r="S24">
        <v>2932453.0217061918</v>
      </c>
    </row>
    <row r="25" spans="7:19" x14ac:dyDescent="0.25">
      <c r="N25" s="6">
        <v>0.995</v>
      </c>
      <c r="O25" s="2">
        <f t="shared" si="5"/>
        <v>3672913.6933276984</v>
      </c>
      <c r="R25">
        <v>22</v>
      </c>
      <c r="S25">
        <v>2516878.7357239225</v>
      </c>
    </row>
    <row r="26" spans="7:19" x14ac:dyDescent="0.25">
      <c r="R26">
        <v>23</v>
      </c>
      <c r="S26">
        <v>3095457.5731605384</v>
      </c>
    </row>
    <row r="27" spans="7:19" x14ac:dyDescent="0.25">
      <c r="R27">
        <v>24</v>
      </c>
      <c r="S27">
        <v>2780155.6292560063</v>
      </c>
    </row>
    <row r="28" spans="7:19" x14ac:dyDescent="0.25">
      <c r="K28" s="2"/>
      <c r="R28">
        <v>25</v>
      </c>
      <c r="S28">
        <v>3024471.10301245</v>
      </c>
    </row>
    <row r="29" spans="7:19" x14ac:dyDescent="0.25">
      <c r="K29" s="2"/>
      <c r="R29">
        <v>26</v>
      </c>
      <c r="S29">
        <v>2596214.7174980813</v>
      </c>
    </row>
    <row r="30" spans="7:19" x14ac:dyDescent="0.25">
      <c r="R30">
        <v>27</v>
      </c>
      <c r="S30">
        <v>2619213.9738385417</v>
      </c>
    </row>
    <row r="31" spans="7:19" x14ac:dyDescent="0.25">
      <c r="R31">
        <v>28</v>
      </c>
      <c r="S31">
        <v>2610266.3615379375</v>
      </c>
    </row>
    <row r="32" spans="7:19" x14ac:dyDescent="0.25">
      <c r="R32">
        <v>29</v>
      </c>
      <c r="S32">
        <v>2987558.4135870039</v>
      </c>
    </row>
    <row r="33" spans="18:19" x14ac:dyDescent="0.25">
      <c r="R33">
        <v>30</v>
      </c>
      <c r="S33">
        <v>2364316.9056197726</v>
      </c>
    </row>
    <row r="34" spans="18:19" x14ac:dyDescent="0.25">
      <c r="R34">
        <v>31</v>
      </c>
      <c r="S34">
        <v>3226214.7937950422</v>
      </c>
    </row>
    <row r="35" spans="18:19" x14ac:dyDescent="0.25">
      <c r="R35">
        <v>32</v>
      </c>
      <c r="S35">
        <v>2894490.3791573429</v>
      </c>
    </row>
    <row r="36" spans="18:19" x14ac:dyDescent="0.25">
      <c r="R36">
        <v>33</v>
      </c>
      <c r="S36">
        <v>2826352.5343345064</v>
      </c>
    </row>
    <row r="37" spans="18:19" x14ac:dyDescent="0.25">
      <c r="R37">
        <v>34</v>
      </c>
      <c r="S37">
        <v>2461786.3441601777</v>
      </c>
    </row>
    <row r="38" spans="18:19" x14ac:dyDescent="0.25">
      <c r="R38">
        <v>35</v>
      </c>
      <c r="S38">
        <v>1965078.8793722431</v>
      </c>
    </row>
    <row r="39" spans="18:19" x14ac:dyDescent="0.25">
      <c r="R39">
        <v>36</v>
      </c>
      <c r="S39">
        <v>2625720.7175393882</v>
      </c>
    </row>
    <row r="40" spans="18:19" x14ac:dyDescent="0.25">
      <c r="R40">
        <v>37</v>
      </c>
      <c r="S40">
        <v>2805228.0036872178</v>
      </c>
    </row>
    <row r="41" spans="18:19" x14ac:dyDescent="0.25">
      <c r="R41">
        <v>38</v>
      </c>
      <c r="S41">
        <v>3443094.2527896455</v>
      </c>
    </row>
    <row r="42" spans="18:19" x14ac:dyDescent="0.25">
      <c r="R42">
        <v>39</v>
      </c>
      <c r="S42">
        <v>2478212.1734984117</v>
      </c>
    </row>
    <row r="43" spans="18:19" x14ac:dyDescent="0.25">
      <c r="R43">
        <v>40</v>
      </c>
      <c r="S43">
        <v>3624933.0819798252</v>
      </c>
    </row>
    <row r="44" spans="18:19" x14ac:dyDescent="0.25">
      <c r="R44">
        <v>41</v>
      </c>
      <c r="S44">
        <v>2768771.1242107954</v>
      </c>
    </row>
    <row r="45" spans="18:19" x14ac:dyDescent="0.25">
      <c r="R45">
        <v>42</v>
      </c>
      <c r="S45">
        <v>2745776.185169199</v>
      </c>
    </row>
    <row r="46" spans="18:19" x14ac:dyDescent="0.25">
      <c r="R46">
        <v>43</v>
      </c>
      <c r="S46">
        <v>2844039.725203705</v>
      </c>
    </row>
    <row r="47" spans="18:19" x14ac:dyDescent="0.25">
      <c r="R47">
        <v>44</v>
      </c>
      <c r="S47">
        <v>3364720.7385207973</v>
      </c>
    </row>
    <row r="48" spans="18:19" x14ac:dyDescent="0.25">
      <c r="R48">
        <v>45</v>
      </c>
      <c r="S48">
        <v>3358663.3126681666</v>
      </c>
    </row>
    <row r="49" spans="18:19" x14ac:dyDescent="0.25">
      <c r="R49">
        <v>46</v>
      </c>
      <c r="S49">
        <v>2594795.9042341681</v>
      </c>
    </row>
    <row r="50" spans="18:19" x14ac:dyDescent="0.25">
      <c r="R50">
        <v>47</v>
      </c>
      <c r="S50">
        <v>3538682.4003866613</v>
      </c>
    </row>
    <row r="51" spans="18:19" x14ac:dyDescent="0.25">
      <c r="R51">
        <v>48</v>
      </c>
      <c r="S51">
        <v>2521265.9430241818</v>
      </c>
    </row>
    <row r="52" spans="18:19" x14ac:dyDescent="0.25">
      <c r="R52">
        <v>49</v>
      </c>
      <c r="S52">
        <v>2586338.2366670817</v>
      </c>
    </row>
    <row r="53" spans="18:19" x14ac:dyDescent="0.25">
      <c r="R53">
        <v>50</v>
      </c>
      <c r="S53">
        <v>2716497.1152276867</v>
      </c>
    </row>
    <row r="54" spans="18:19" x14ac:dyDescent="0.25">
      <c r="R54">
        <v>51</v>
      </c>
      <c r="S54">
        <v>2913109.644992379</v>
      </c>
    </row>
    <row r="55" spans="18:19" x14ac:dyDescent="0.25">
      <c r="R55">
        <v>52</v>
      </c>
      <c r="S55">
        <v>2570122.0975019992</v>
      </c>
    </row>
    <row r="56" spans="18:19" x14ac:dyDescent="0.25">
      <c r="R56">
        <v>53</v>
      </c>
      <c r="S56">
        <v>2709141.4096896155</v>
      </c>
    </row>
    <row r="57" spans="18:19" x14ac:dyDescent="0.25">
      <c r="R57">
        <v>54</v>
      </c>
      <c r="S57">
        <v>2270905.9276026548</v>
      </c>
    </row>
    <row r="58" spans="18:19" x14ac:dyDescent="0.25">
      <c r="R58">
        <v>55</v>
      </c>
      <c r="S58">
        <v>2640473.4856711794</v>
      </c>
    </row>
    <row r="59" spans="18:19" x14ac:dyDescent="0.25">
      <c r="R59">
        <v>56</v>
      </c>
      <c r="S59">
        <v>2948776.1743627829</v>
      </c>
    </row>
    <row r="60" spans="18:19" x14ac:dyDescent="0.25">
      <c r="R60">
        <v>57</v>
      </c>
      <c r="S60">
        <v>2776379.4877813198</v>
      </c>
    </row>
    <row r="61" spans="18:19" x14ac:dyDescent="0.25">
      <c r="R61">
        <v>58</v>
      </c>
      <c r="S61">
        <v>2671544.9889723836</v>
      </c>
    </row>
    <row r="62" spans="18:19" x14ac:dyDescent="0.25">
      <c r="R62">
        <v>59</v>
      </c>
      <c r="S62">
        <v>3276770.1886271751</v>
      </c>
    </row>
    <row r="63" spans="18:19" x14ac:dyDescent="0.25">
      <c r="R63">
        <v>60</v>
      </c>
      <c r="S63">
        <v>2385873.142469692</v>
      </c>
    </row>
    <row r="64" spans="18:19" x14ac:dyDescent="0.25">
      <c r="R64">
        <v>61</v>
      </c>
      <c r="S64">
        <v>3288904.5332426839</v>
      </c>
    </row>
    <row r="65" spans="18:19" x14ac:dyDescent="0.25">
      <c r="R65">
        <v>62</v>
      </c>
      <c r="S65">
        <v>2493491.4676358458</v>
      </c>
    </row>
    <row r="66" spans="18:19" x14ac:dyDescent="0.25">
      <c r="R66">
        <v>63</v>
      </c>
      <c r="S66">
        <v>3403429.2154458375</v>
      </c>
    </row>
    <row r="67" spans="18:19" x14ac:dyDescent="0.25">
      <c r="R67">
        <v>64</v>
      </c>
      <c r="S67">
        <v>2863642.3759529009</v>
      </c>
    </row>
    <row r="68" spans="18:19" x14ac:dyDescent="0.25">
      <c r="R68">
        <v>65</v>
      </c>
      <c r="S68">
        <v>2539277.5161898909</v>
      </c>
    </row>
    <row r="69" spans="18:19" x14ac:dyDescent="0.25">
      <c r="R69">
        <v>66</v>
      </c>
      <c r="S69">
        <v>3191667.0048364559</v>
      </c>
    </row>
    <row r="70" spans="18:19" x14ac:dyDescent="0.25">
      <c r="R70">
        <v>67</v>
      </c>
      <c r="S70">
        <v>2231299.491151894</v>
      </c>
    </row>
    <row r="71" spans="18:19" x14ac:dyDescent="0.25">
      <c r="R71">
        <v>68</v>
      </c>
      <c r="S71">
        <v>2742996.5288376687</v>
      </c>
    </row>
    <row r="72" spans="18:19" x14ac:dyDescent="0.25">
      <c r="R72">
        <v>69</v>
      </c>
      <c r="S72">
        <v>2392228.5753056947</v>
      </c>
    </row>
    <row r="73" spans="18:19" x14ac:dyDescent="0.25">
      <c r="R73">
        <v>70</v>
      </c>
      <c r="S73">
        <v>2648764.4984034421</v>
      </c>
    </row>
    <row r="74" spans="18:19" x14ac:dyDescent="0.25">
      <c r="R74">
        <v>71</v>
      </c>
      <c r="S74">
        <v>2833854.3430148964</v>
      </c>
    </row>
    <row r="75" spans="18:19" x14ac:dyDescent="0.25">
      <c r="R75">
        <v>72</v>
      </c>
      <c r="S75">
        <v>2731422.9720733967</v>
      </c>
    </row>
    <row r="76" spans="18:19" x14ac:dyDescent="0.25">
      <c r="R76">
        <v>73</v>
      </c>
      <c r="S76">
        <v>2966940.9925096696</v>
      </c>
    </row>
    <row r="77" spans="18:19" x14ac:dyDescent="0.25">
      <c r="R77">
        <v>74</v>
      </c>
      <c r="S77">
        <v>2676730.1762655866</v>
      </c>
    </row>
    <row r="78" spans="18:19" x14ac:dyDescent="0.25">
      <c r="R78">
        <v>75</v>
      </c>
      <c r="S78">
        <v>3118254.0025557191</v>
      </c>
    </row>
    <row r="79" spans="18:19" x14ac:dyDescent="0.25">
      <c r="R79">
        <v>76</v>
      </c>
      <c r="S79">
        <v>2937774.4723633216</v>
      </c>
    </row>
    <row r="80" spans="18:19" x14ac:dyDescent="0.25">
      <c r="R80">
        <v>77</v>
      </c>
      <c r="S80">
        <v>3001761.4758191919</v>
      </c>
    </row>
    <row r="81" spans="18:19" x14ac:dyDescent="0.25">
      <c r="R81">
        <v>78</v>
      </c>
      <c r="S81">
        <v>2581129.1338214967</v>
      </c>
    </row>
    <row r="82" spans="18:19" x14ac:dyDescent="0.25">
      <c r="R82">
        <v>79</v>
      </c>
      <c r="S82">
        <v>2942883.6929149614</v>
      </c>
    </row>
    <row r="83" spans="18:19" x14ac:dyDescent="0.25">
      <c r="R83">
        <v>80</v>
      </c>
      <c r="S83">
        <v>2883422.433338535</v>
      </c>
    </row>
    <row r="84" spans="18:19" x14ac:dyDescent="0.25">
      <c r="R84">
        <v>81</v>
      </c>
      <c r="S84">
        <v>2689894.1812809533</v>
      </c>
    </row>
    <row r="85" spans="18:19" x14ac:dyDescent="0.25">
      <c r="R85">
        <v>82</v>
      </c>
      <c r="S85">
        <v>3140987.2719271537</v>
      </c>
    </row>
    <row r="86" spans="18:19" x14ac:dyDescent="0.25">
      <c r="R86">
        <v>83</v>
      </c>
      <c r="S86">
        <v>2760000.480977722</v>
      </c>
    </row>
    <row r="87" spans="18:19" x14ac:dyDescent="0.25">
      <c r="R87">
        <v>84</v>
      </c>
      <c r="S87">
        <v>2835313.2262840956</v>
      </c>
    </row>
    <row r="88" spans="18:19" x14ac:dyDescent="0.25">
      <c r="R88">
        <v>85</v>
      </c>
      <c r="S88">
        <v>3084962.6929082158</v>
      </c>
    </row>
    <row r="89" spans="18:19" x14ac:dyDescent="0.25">
      <c r="R89">
        <v>86</v>
      </c>
      <c r="S89">
        <v>2417911.314666505</v>
      </c>
    </row>
    <row r="90" spans="18:19" x14ac:dyDescent="0.25">
      <c r="R90">
        <v>87</v>
      </c>
      <c r="S90">
        <v>3455779.9010631838</v>
      </c>
    </row>
    <row r="91" spans="18:19" x14ac:dyDescent="0.25">
      <c r="R91">
        <v>88</v>
      </c>
      <c r="S91">
        <v>1899915.5946868956</v>
      </c>
    </row>
    <row r="92" spans="18:19" x14ac:dyDescent="0.25">
      <c r="R92">
        <v>89</v>
      </c>
      <c r="S92">
        <v>2725196.2552045435</v>
      </c>
    </row>
    <row r="93" spans="18:19" x14ac:dyDescent="0.25">
      <c r="R93">
        <v>90</v>
      </c>
      <c r="S93">
        <v>2949699.0514128213</v>
      </c>
    </row>
    <row r="94" spans="18:19" x14ac:dyDescent="0.25">
      <c r="R94">
        <v>91</v>
      </c>
      <c r="S94">
        <v>2330775.1873802631</v>
      </c>
    </row>
    <row r="95" spans="18:19" x14ac:dyDescent="0.25">
      <c r="R95">
        <v>92</v>
      </c>
      <c r="S95">
        <v>2542744.4308264423</v>
      </c>
    </row>
    <row r="96" spans="18:19" x14ac:dyDescent="0.25">
      <c r="R96">
        <v>93</v>
      </c>
      <c r="S96">
        <v>2218500.3545346195</v>
      </c>
    </row>
    <row r="97" spans="18:19" x14ac:dyDescent="0.25">
      <c r="R97">
        <v>94</v>
      </c>
      <c r="S97">
        <v>2933983.2860745462</v>
      </c>
    </row>
    <row r="98" spans="18:19" x14ac:dyDescent="0.25">
      <c r="R98">
        <v>95</v>
      </c>
      <c r="S98">
        <v>2753917.9426373197</v>
      </c>
    </row>
    <row r="99" spans="18:19" x14ac:dyDescent="0.25">
      <c r="R99">
        <v>96</v>
      </c>
      <c r="S99">
        <v>2607096.0956852739</v>
      </c>
    </row>
    <row r="100" spans="18:19" x14ac:dyDescent="0.25">
      <c r="R100">
        <v>97</v>
      </c>
      <c r="S100">
        <v>2750313.5138921924</v>
      </c>
    </row>
    <row r="101" spans="18:19" x14ac:dyDescent="0.25">
      <c r="R101">
        <v>98</v>
      </c>
      <c r="S101">
        <v>3234949.9375930019</v>
      </c>
    </row>
    <row r="102" spans="18:19" x14ac:dyDescent="0.25">
      <c r="R102">
        <v>99</v>
      </c>
      <c r="S102">
        <v>2809603.9818665339</v>
      </c>
    </row>
    <row r="103" spans="18:19" x14ac:dyDescent="0.25">
      <c r="R103">
        <v>100</v>
      </c>
      <c r="S103">
        <v>2750973.6750250636</v>
      </c>
    </row>
    <row r="104" spans="18:19" x14ac:dyDescent="0.25">
      <c r="R104">
        <v>101</v>
      </c>
      <c r="S104">
        <v>2410453.3267431012</v>
      </c>
    </row>
    <row r="105" spans="18:19" x14ac:dyDescent="0.25">
      <c r="R105">
        <v>102</v>
      </c>
      <c r="S105">
        <v>2675456.7603170197</v>
      </c>
    </row>
    <row r="106" spans="18:19" x14ac:dyDescent="0.25">
      <c r="R106">
        <v>103</v>
      </c>
      <c r="S106">
        <v>2960926.4569177032</v>
      </c>
    </row>
    <row r="107" spans="18:19" x14ac:dyDescent="0.25">
      <c r="R107">
        <v>104</v>
      </c>
      <c r="S107">
        <v>2066472.6255636306</v>
      </c>
    </row>
    <row r="108" spans="18:19" x14ac:dyDescent="0.25">
      <c r="R108">
        <v>105</v>
      </c>
      <c r="S108">
        <v>2818108.0622273344</v>
      </c>
    </row>
    <row r="109" spans="18:19" x14ac:dyDescent="0.25">
      <c r="R109">
        <v>106</v>
      </c>
      <c r="S109">
        <v>2705220.836199305</v>
      </c>
    </row>
    <row r="110" spans="18:19" x14ac:dyDescent="0.25">
      <c r="R110">
        <v>107</v>
      </c>
      <c r="S110">
        <v>2893998.6853921777</v>
      </c>
    </row>
    <row r="111" spans="18:19" x14ac:dyDescent="0.25">
      <c r="R111">
        <v>108</v>
      </c>
      <c r="S111">
        <v>3054949.0606076154</v>
      </c>
    </row>
    <row r="112" spans="18:19" x14ac:dyDescent="0.25">
      <c r="R112">
        <v>109</v>
      </c>
      <c r="S112">
        <v>3018255.0251865368</v>
      </c>
    </row>
    <row r="113" spans="18:19" x14ac:dyDescent="0.25">
      <c r="R113">
        <v>110</v>
      </c>
      <c r="S113">
        <v>2986001.9940585657</v>
      </c>
    </row>
    <row r="114" spans="18:19" x14ac:dyDescent="0.25">
      <c r="R114">
        <v>111</v>
      </c>
      <c r="S114">
        <v>2925300.9095763937</v>
      </c>
    </row>
    <row r="115" spans="18:19" x14ac:dyDescent="0.25">
      <c r="R115">
        <v>112</v>
      </c>
      <c r="S115">
        <v>2850812.2185109463</v>
      </c>
    </row>
    <row r="116" spans="18:19" x14ac:dyDescent="0.25">
      <c r="R116">
        <v>113</v>
      </c>
      <c r="S116">
        <v>3327714.6345777111</v>
      </c>
    </row>
    <row r="117" spans="18:19" x14ac:dyDescent="0.25">
      <c r="R117">
        <v>114</v>
      </c>
      <c r="S117">
        <v>2572029.7103512827</v>
      </c>
    </row>
    <row r="118" spans="18:19" x14ac:dyDescent="0.25">
      <c r="R118">
        <v>115</v>
      </c>
      <c r="S118">
        <v>1991858.1592429113</v>
      </c>
    </row>
    <row r="119" spans="18:19" x14ac:dyDescent="0.25">
      <c r="R119">
        <v>116</v>
      </c>
      <c r="S119">
        <v>3214227.8559192442</v>
      </c>
    </row>
    <row r="120" spans="18:19" x14ac:dyDescent="0.25">
      <c r="R120">
        <v>117</v>
      </c>
      <c r="S120">
        <v>3030270.6325522964</v>
      </c>
    </row>
    <row r="121" spans="18:19" x14ac:dyDescent="0.25">
      <c r="R121">
        <v>118</v>
      </c>
      <c r="S121">
        <v>2988398.6054438697</v>
      </c>
    </row>
    <row r="122" spans="18:19" x14ac:dyDescent="0.25">
      <c r="R122">
        <v>119</v>
      </c>
      <c r="S122">
        <v>3121349.0544657414</v>
      </c>
    </row>
    <row r="123" spans="18:19" x14ac:dyDescent="0.25">
      <c r="R123">
        <v>120</v>
      </c>
      <c r="S123">
        <v>2425784.1719089458</v>
      </c>
    </row>
    <row r="124" spans="18:19" x14ac:dyDescent="0.25">
      <c r="R124">
        <v>121</v>
      </c>
      <c r="S124">
        <v>3179012.0309801223</v>
      </c>
    </row>
    <row r="125" spans="18:19" x14ac:dyDescent="0.25">
      <c r="R125">
        <v>122</v>
      </c>
      <c r="S125">
        <v>2849965.0404194742</v>
      </c>
    </row>
    <row r="126" spans="18:19" x14ac:dyDescent="0.25">
      <c r="R126">
        <v>123</v>
      </c>
      <c r="S126">
        <v>3307264.6992530394</v>
      </c>
    </row>
    <row r="127" spans="18:19" x14ac:dyDescent="0.25">
      <c r="R127">
        <v>124</v>
      </c>
      <c r="S127">
        <v>2137875.5528263035</v>
      </c>
    </row>
    <row r="128" spans="18:19" x14ac:dyDescent="0.25">
      <c r="R128">
        <v>125</v>
      </c>
      <c r="S128">
        <v>2240661.7916400768</v>
      </c>
    </row>
    <row r="129" spans="18:19" x14ac:dyDescent="0.25">
      <c r="R129">
        <v>126</v>
      </c>
      <c r="S129">
        <v>2672321.6240002792</v>
      </c>
    </row>
    <row r="130" spans="18:19" x14ac:dyDescent="0.25">
      <c r="R130">
        <v>127</v>
      </c>
      <c r="S130">
        <v>3422792.708289268</v>
      </c>
    </row>
    <row r="131" spans="18:19" x14ac:dyDescent="0.25">
      <c r="R131">
        <v>128</v>
      </c>
      <c r="S131">
        <v>2579095.6760537745</v>
      </c>
    </row>
    <row r="132" spans="18:19" x14ac:dyDescent="0.25">
      <c r="R132">
        <v>129</v>
      </c>
      <c r="S132">
        <v>3264998.5116939466</v>
      </c>
    </row>
    <row r="133" spans="18:19" x14ac:dyDescent="0.25">
      <c r="R133">
        <v>130</v>
      </c>
      <c r="S133">
        <v>3041340.9266158575</v>
      </c>
    </row>
    <row r="134" spans="18:19" x14ac:dyDescent="0.25">
      <c r="R134">
        <v>131</v>
      </c>
      <c r="S134">
        <v>3318448.6336827422</v>
      </c>
    </row>
    <row r="135" spans="18:19" x14ac:dyDescent="0.25">
      <c r="R135">
        <v>132</v>
      </c>
      <c r="S135">
        <v>2383031.5217567058</v>
      </c>
    </row>
    <row r="136" spans="18:19" x14ac:dyDescent="0.25">
      <c r="R136">
        <v>133</v>
      </c>
      <c r="S136">
        <v>2568447.6010476151</v>
      </c>
    </row>
    <row r="137" spans="18:19" x14ac:dyDescent="0.25">
      <c r="R137">
        <v>134</v>
      </c>
      <c r="S137">
        <v>2223760.3626560559</v>
      </c>
    </row>
    <row r="138" spans="18:19" x14ac:dyDescent="0.25">
      <c r="R138">
        <v>135</v>
      </c>
      <c r="S138">
        <v>2377705.0344531387</v>
      </c>
    </row>
    <row r="139" spans="18:19" x14ac:dyDescent="0.25">
      <c r="R139">
        <v>136</v>
      </c>
      <c r="S139">
        <v>3291962.6779718092</v>
      </c>
    </row>
    <row r="140" spans="18:19" x14ac:dyDescent="0.25">
      <c r="R140">
        <v>137</v>
      </c>
      <c r="S140">
        <v>2174143.4899702747</v>
      </c>
    </row>
    <row r="141" spans="18:19" x14ac:dyDescent="0.25">
      <c r="R141">
        <v>138</v>
      </c>
      <c r="S141">
        <v>2169068.2422018591</v>
      </c>
    </row>
    <row r="142" spans="18:19" x14ac:dyDescent="0.25">
      <c r="R142">
        <v>139</v>
      </c>
      <c r="S142">
        <v>2615119.4202814787</v>
      </c>
    </row>
    <row r="143" spans="18:19" x14ac:dyDescent="0.25">
      <c r="R143">
        <v>140</v>
      </c>
      <c r="S143">
        <v>2358321.1681091893</v>
      </c>
    </row>
    <row r="144" spans="18:19" x14ac:dyDescent="0.25">
      <c r="R144">
        <v>141</v>
      </c>
      <c r="S144">
        <v>2461606.654149828</v>
      </c>
    </row>
    <row r="145" spans="18:19" x14ac:dyDescent="0.25">
      <c r="R145">
        <v>142</v>
      </c>
      <c r="S145">
        <v>2612552.4410591847</v>
      </c>
    </row>
    <row r="146" spans="18:19" x14ac:dyDescent="0.25">
      <c r="R146">
        <v>143</v>
      </c>
      <c r="S146">
        <v>2528329.9677633871</v>
      </c>
    </row>
    <row r="147" spans="18:19" x14ac:dyDescent="0.25">
      <c r="R147">
        <v>144</v>
      </c>
      <c r="S147">
        <v>2915857.0267760758</v>
      </c>
    </row>
    <row r="148" spans="18:19" x14ac:dyDescent="0.25">
      <c r="R148">
        <v>145</v>
      </c>
      <c r="S148">
        <v>2614152.9567508479</v>
      </c>
    </row>
    <row r="149" spans="18:19" x14ac:dyDescent="0.25">
      <c r="R149">
        <v>146</v>
      </c>
      <c r="S149">
        <v>2930481.2386506358</v>
      </c>
    </row>
    <row r="150" spans="18:19" x14ac:dyDescent="0.25">
      <c r="R150">
        <v>147</v>
      </c>
      <c r="S150">
        <v>3431903.5866272696</v>
      </c>
    </row>
    <row r="151" spans="18:19" x14ac:dyDescent="0.25">
      <c r="R151">
        <v>148</v>
      </c>
      <c r="S151">
        <v>2806105.7203420145</v>
      </c>
    </row>
    <row r="152" spans="18:19" x14ac:dyDescent="0.25">
      <c r="R152">
        <v>149</v>
      </c>
      <c r="S152">
        <v>3170592.2888269518</v>
      </c>
    </row>
    <row r="153" spans="18:19" x14ac:dyDescent="0.25">
      <c r="R153">
        <v>150</v>
      </c>
      <c r="S153">
        <v>2139589.5980099905</v>
      </c>
    </row>
    <row r="154" spans="18:19" x14ac:dyDescent="0.25">
      <c r="R154">
        <v>151</v>
      </c>
      <c r="S154">
        <v>2737795.6757937758</v>
      </c>
    </row>
    <row r="155" spans="18:19" x14ac:dyDescent="0.25">
      <c r="R155">
        <v>152</v>
      </c>
      <c r="S155">
        <v>2708427.3087234022</v>
      </c>
    </row>
    <row r="156" spans="18:19" x14ac:dyDescent="0.25">
      <c r="R156">
        <v>153</v>
      </c>
      <c r="S156">
        <v>2877532.3494952959</v>
      </c>
    </row>
    <row r="157" spans="18:19" x14ac:dyDescent="0.25">
      <c r="R157">
        <v>154</v>
      </c>
      <c r="S157">
        <v>3218976.8562961146</v>
      </c>
    </row>
    <row r="158" spans="18:19" x14ac:dyDescent="0.25">
      <c r="R158">
        <v>155</v>
      </c>
      <c r="S158">
        <v>3155987.6994913882</v>
      </c>
    </row>
    <row r="159" spans="18:19" x14ac:dyDescent="0.25">
      <c r="R159">
        <v>156</v>
      </c>
      <c r="S159">
        <v>2833209.4990253872</v>
      </c>
    </row>
    <row r="160" spans="18:19" x14ac:dyDescent="0.25">
      <c r="R160">
        <v>157</v>
      </c>
      <c r="S160">
        <v>2033380.3996267663</v>
      </c>
    </row>
    <row r="161" spans="18:19" x14ac:dyDescent="0.25">
      <c r="R161">
        <v>158</v>
      </c>
      <c r="S161">
        <v>2588755.6407529418</v>
      </c>
    </row>
    <row r="162" spans="18:19" x14ac:dyDescent="0.25">
      <c r="R162">
        <v>159</v>
      </c>
      <c r="S162">
        <v>2125944.6150943981</v>
      </c>
    </row>
    <row r="163" spans="18:19" x14ac:dyDescent="0.25">
      <c r="R163">
        <v>160</v>
      </c>
      <c r="S163">
        <v>2412341.8150755488</v>
      </c>
    </row>
    <row r="164" spans="18:19" x14ac:dyDescent="0.25">
      <c r="R164">
        <v>161</v>
      </c>
      <c r="S164">
        <v>3075215.3906152248</v>
      </c>
    </row>
    <row r="165" spans="18:19" x14ac:dyDescent="0.25">
      <c r="R165">
        <v>162</v>
      </c>
      <c r="S165">
        <v>2837873.9337633657</v>
      </c>
    </row>
    <row r="166" spans="18:19" x14ac:dyDescent="0.25">
      <c r="R166">
        <v>163</v>
      </c>
      <c r="S166">
        <v>2933133.9665462566</v>
      </c>
    </row>
    <row r="167" spans="18:19" x14ac:dyDescent="0.25">
      <c r="R167">
        <v>164</v>
      </c>
      <c r="S167">
        <v>2023565.1798862279</v>
      </c>
    </row>
    <row r="168" spans="18:19" x14ac:dyDescent="0.25">
      <c r="R168">
        <v>165</v>
      </c>
      <c r="S168">
        <v>2388927.8433266901</v>
      </c>
    </row>
    <row r="169" spans="18:19" x14ac:dyDescent="0.25">
      <c r="R169">
        <v>166</v>
      </c>
      <c r="S169">
        <v>3719944.1935597733</v>
      </c>
    </row>
    <row r="170" spans="18:19" x14ac:dyDescent="0.25">
      <c r="R170">
        <v>167</v>
      </c>
      <c r="S170">
        <v>2371845.9465094199</v>
      </c>
    </row>
    <row r="171" spans="18:19" x14ac:dyDescent="0.25">
      <c r="R171">
        <v>168</v>
      </c>
      <c r="S171">
        <v>2184299.1802190519</v>
      </c>
    </row>
    <row r="172" spans="18:19" x14ac:dyDescent="0.25">
      <c r="R172">
        <v>169</v>
      </c>
      <c r="S172">
        <v>2561361.5037298827</v>
      </c>
    </row>
    <row r="173" spans="18:19" x14ac:dyDescent="0.25">
      <c r="R173">
        <v>170</v>
      </c>
      <c r="S173">
        <v>3189510.7092005336</v>
      </c>
    </row>
    <row r="174" spans="18:19" x14ac:dyDescent="0.25">
      <c r="R174">
        <v>171</v>
      </c>
      <c r="S174">
        <v>3154180.7936716489</v>
      </c>
    </row>
    <row r="175" spans="18:19" x14ac:dyDescent="0.25">
      <c r="R175">
        <v>172</v>
      </c>
      <c r="S175">
        <v>2693578.0519141103</v>
      </c>
    </row>
    <row r="176" spans="18:19" x14ac:dyDescent="0.25">
      <c r="R176">
        <v>173</v>
      </c>
      <c r="S176">
        <v>2732246.6755957529</v>
      </c>
    </row>
    <row r="177" spans="18:19" x14ac:dyDescent="0.25">
      <c r="R177">
        <v>174</v>
      </c>
      <c r="S177">
        <v>2894437.3938154718</v>
      </c>
    </row>
    <row r="178" spans="18:19" x14ac:dyDescent="0.25">
      <c r="R178">
        <v>175</v>
      </c>
      <c r="S178">
        <v>3947229.5986368791</v>
      </c>
    </row>
    <row r="179" spans="18:19" x14ac:dyDescent="0.25">
      <c r="R179">
        <v>176</v>
      </c>
      <c r="S179">
        <v>2646080.8132955893</v>
      </c>
    </row>
    <row r="180" spans="18:19" x14ac:dyDescent="0.25">
      <c r="R180">
        <v>177</v>
      </c>
      <c r="S180">
        <v>2288346.4767729742</v>
      </c>
    </row>
    <row r="181" spans="18:19" x14ac:dyDescent="0.25">
      <c r="R181">
        <v>178</v>
      </c>
      <c r="S181">
        <v>2357839.7718140087</v>
      </c>
    </row>
    <row r="182" spans="18:19" x14ac:dyDescent="0.25">
      <c r="R182">
        <v>179</v>
      </c>
      <c r="S182">
        <v>3084465.413644101</v>
      </c>
    </row>
    <row r="183" spans="18:19" x14ac:dyDescent="0.25">
      <c r="R183">
        <v>180</v>
      </c>
      <c r="S183">
        <v>3087492.3987094504</v>
      </c>
    </row>
    <row r="184" spans="18:19" x14ac:dyDescent="0.25">
      <c r="R184">
        <v>181</v>
      </c>
      <c r="S184">
        <v>3128617.8096692846</v>
      </c>
    </row>
    <row r="185" spans="18:19" x14ac:dyDescent="0.25">
      <c r="R185">
        <v>182</v>
      </c>
      <c r="S185">
        <v>2787966.6971657211</v>
      </c>
    </row>
    <row r="186" spans="18:19" x14ac:dyDescent="0.25">
      <c r="R186">
        <v>183</v>
      </c>
      <c r="S186">
        <v>3180911.4669348625</v>
      </c>
    </row>
    <row r="187" spans="18:19" x14ac:dyDescent="0.25">
      <c r="R187">
        <v>184</v>
      </c>
      <c r="S187">
        <v>2902470.6672476577</v>
      </c>
    </row>
    <row r="188" spans="18:19" x14ac:dyDescent="0.25">
      <c r="R188">
        <v>185</v>
      </c>
      <c r="S188">
        <v>2187169.2969992696</v>
      </c>
    </row>
    <row r="189" spans="18:19" x14ac:dyDescent="0.25">
      <c r="R189">
        <v>186</v>
      </c>
      <c r="S189">
        <v>2480217.8865833804</v>
      </c>
    </row>
    <row r="190" spans="18:19" x14ac:dyDescent="0.25">
      <c r="R190">
        <v>187</v>
      </c>
      <c r="S190">
        <v>2170180.498915364</v>
      </c>
    </row>
    <row r="191" spans="18:19" x14ac:dyDescent="0.25">
      <c r="R191">
        <v>188</v>
      </c>
      <c r="S191">
        <v>3032722.3823120692</v>
      </c>
    </row>
    <row r="192" spans="18:19" x14ac:dyDescent="0.25">
      <c r="R192">
        <v>189</v>
      </c>
      <c r="S192">
        <v>2994767.9629458501</v>
      </c>
    </row>
    <row r="193" spans="18:19" x14ac:dyDescent="0.25">
      <c r="R193">
        <v>190</v>
      </c>
      <c r="S193">
        <v>3243726.4012337411</v>
      </c>
    </row>
    <row r="194" spans="18:19" x14ac:dyDescent="0.25">
      <c r="R194">
        <v>191</v>
      </c>
      <c r="S194">
        <v>3109344.6386064277</v>
      </c>
    </row>
    <row r="195" spans="18:19" x14ac:dyDescent="0.25">
      <c r="R195">
        <v>192</v>
      </c>
      <c r="S195">
        <v>2824221.5196005213</v>
      </c>
    </row>
    <row r="196" spans="18:19" x14ac:dyDescent="0.25">
      <c r="R196">
        <v>193</v>
      </c>
      <c r="S196">
        <v>2956935.9624789469</v>
      </c>
    </row>
    <row r="197" spans="18:19" x14ac:dyDescent="0.25">
      <c r="R197">
        <v>194</v>
      </c>
      <c r="S197">
        <v>3535106.5644684508</v>
      </c>
    </row>
    <row r="198" spans="18:19" x14ac:dyDescent="0.25">
      <c r="R198">
        <v>195</v>
      </c>
      <c r="S198">
        <v>2816264.3807153036</v>
      </c>
    </row>
    <row r="199" spans="18:19" x14ac:dyDescent="0.25">
      <c r="R199">
        <v>196</v>
      </c>
      <c r="S199">
        <v>2730914.0695228279</v>
      </c>
    </row>
    <row r="200" spans="18:19" x14ac:dyDescent="0.25">
      <c r="R200">
        <v>197</v>
      </c>
      <c r="S200">
        <v>3074044.0861930526</v>
      </c>
    </row>
    <row r="201" spans="18:19" x14ac:dyDescent="0.25">
      <c r="R201">
        <v>198</v>
      </c>
      <c r="S201">
        <v>3016604.338066319</v>
      </c>
    </row>
    <row r="202" spans="18:19" x14ac:dyDescent="0.25">
      <c r="R202">
        <v>199</v>
      </c>
      <c r="S202">
        <v>2557252.8709737347</v>
      </c>
    </row>
    <row r="203" spans="18:19" x14ac:dyDescent="0.25">
      <c r="R203">
        <v>200</v>
      </c>
      <c r="S203">
        <v>2795966.0467050457</v>
      </c>
    </row>
    <row r="204" spans="18:19" x14ac:dyDescent="0.25">
      <c r="R204">
        <v>201</v>
      </c>
      <c r="S204">
        <v>3255062.3475363324</v>
      </c>
    </row>
    <row r="205" spans="18:19" x14ac:dyDescent="0.25">
      <c r="R205">
        <v>202</v>
      </c>
      <c r="S205">
        <v>3036109.4396806727</v>
      </c>
    </row>
    <row r="206" spans="18:19" x14ac:dyDescent="0.25">
      <c r="R206">
        <v>203</v>
      </c>
      <c r="S206">
        <v>2620480.6731494516</v>
      </c>
    </row>
    <row r="207" spans="18:19" x14ac:dyDescent="0.25">
      <c r="R207">
        <v>204</v>
      </c>
      <c r="S207">
        <v>2588948.5462474907</v>
      </c>
    </row>
    <row r="208" spans="18:19" x14ac:dyDescent="0.25">
      <c r="R208">
        <v>205</v>
      </c>
      <c r="S208">
        <v>3348747.6518610306</v>
      </c>
    </row>
    <row r="209" spans="18:19" x14ac:dyDescent="0.25">
      <c r="R209">
        <v>206</v>
      </c>
      <c r="S209">
        <v>2334638.6176047488</v>
      </c>
    </row>
    <row r="210" spans="18:19" x14ac:dyDescent="0.25">
      <c r="R210">
        <v>207</v>
      </c>
      <c r="S210">
        <v>3197357.2429822269</v>
      </c>
    </row>
    <row r="211" spans="18:19" x14ac:dyDescent="0.25">
      <c r="R211">
        <v>208</v>
      </c>
      <c r="S211">
        <v>2991316.5907392073</v>
      </c>
    </row>
    <row r="212" spans="18:19" x14ac:dyDescent="0.25">
      <c r="R212">
        <v>209</v>
      </c>
      <c r="S212">
        <v>2567393.0470346846</v>
      </c>
    </row>
    <row r="213" spans="18:19" x14ac:dyDescent="0.25">
      <c r="R213">
        <v>210</v>
      </c>
      <c r="S213">
        <v>2340130.6476501576</v>
      </c>
    </row>
    <row r="214" spans="18:19" x14ac:dyDescent="0.25">
      <c r="R214">
        <v>211</v>
      </c>
      <c r="S214">
        <v>2895792.6363085578</v>
      </c>
    </row>
    <row r="215" spans="18:19" x14ac:dyDescent="0.25">
      <c r="R215">
        <v>212</v>
      </c>
      <c r="S215">
        <v>2906991.0927702743</v>
      </c>
    </row>
    <row r="216" spans="18:19" x14ac:dyDescent="0.25">
      <c r="R216">
        <v>213</v>
      </c>
      <c r="S216">
        <v>2861348.3957263939</v>
      </c>
    </row>
    <row r="217" spans="18:19" x14ac:dyDescent="0.25">
      <c r="R217">
        <v>214</v>
      </c>
      <c r="S217">
        <v>2768880.7101963731</v>
      </c>
    </row>
    <row r="218" spans="18:19" x14ac:dyDescent="0.25">
      <c r="R218">
        <v>215</v>
      </c>
      <c r="S218">
        <v>3185202.6054753908</v>
      </c>
    </row>
    <row r="219" spans="18:19" x14ac:dyDescent="0.25">
      <c r="R219">
        <v>216</v>
      </c>
      <c r="S219">
        <v>3415154.4170943033</v>
      </c>
    </row>
    <row r="220" spans="18:19" x14ac:dyDescent="0.25">
      <c r="R220">
        <v>217</v>
      </c>
      <c r="S220">
        <v>1962326.6306501476</v>
      </c>
    </row>
    <row r="221" spans="18:19" x14ac:dyDescent="0.25">
      <c r="R221">
        <v>218</v>
      </c>
      <c r="S221">
        <v>3321118.4972934974</v>
      </c>
    </row>
    <row r="222" spans="18:19" x14ac:dyDescent="0.25">
      <c r="R222">
        <v>219</v>
      </c>
      <c r="S222">
        <v>3065254.6039114622</v>
      </c>
    </row>
    <row r="223" spans="18:19" x14ac:dyDescent="0.25">
      <c r="R223">
        <v>220</v>
      </c>
      <c r="S223">
        <v>2505072.0562764653</v>
      </c>
    </row>
    <row r="224" spans="18:19" x14ac:dyDescent="0.25">
      <c r="R224">
        <v>221</v>
      </c>
      <c r="S224">
        <v>3189165.5757028046</v>
      </c>
    </row>
    <row r="225" spans="18:19" x14ac:dyDescent="0.25">
      <c r="R225">
        <v>222</v>
      </c>
      <c r="S225">
        <v>2560703.7385472432</v>
      </c>
    </row>
    <row r="226" spans="18:19" x14ac:dyDescent="0.25">
      <c r="R226">
        <v>223</v>
      </c>
      <c r="S226">
        <v>2555425.8746366184</v>
      </c>
    </row>
    <row r="227" spans="18:19" x14ac:dyDescent="0.25">
      <c r="R227">
        <v>224</v>
      </c>
      <c r="S227">
        <v>2809814.1213696063</v>
      </c>
    </row>
    <row r="228" spans="18:19" x14ac:dyDescent="0.25">
      <c r="R228">
        <v>225</v>
      </c>
      <c r="S228">
        <v>2520870.713856718</v>
      </c>
    </row>
    <row r="229" spans="18:19" x14ac:dyDescent="0.25">
      <c r="R229">
        <v>226</v>
      </c>
      <c r="S229">
        <v>2825376.8556513493</v>
      </c>
    </row>
    <row r="230" spans="18:19" x14ac:dyDescent="0.25">
      <c r="R230">
        <v>227</v>
      </c>
      <c r="S230">
        <v>2969505.4956329805</v>
      </c>
    </row>
    <row r="231" spans="18:19" x14ac:dyDescent="0.25">
      <c r="R231">
        <v>228</v>
      </c>
      <c r="S231">
        <v>2839318.3932104935</v>
      </c>
    </row>
    <row r="232" spans="18:19" x14ac:dyDescent="0.25">
      <c r="R232">
        <v>229</v>
      </c>
      <c r="S232">
        <v>2897457.5321814176</v>
      </c>
    </row>
    <row r="233" spans="18:19" x14ac:dyDescent="0.25">
      <c r="R233">
        <v>230</v>
      </c>
      <c r="S233">
        <v>2398164.429530099</v>
      </c>
    </row>
    <row r="234" spans="18:19" x14ac:dyDescent="0.25">
      <c r="R234">
        <v>231</v>
      </c>
      <c r="S234">
        <v>2569162.9016138855</v>
      </c>
    </row>
    <row r="235" spans="18:19" x14ac:dyDescent="0.25">
      <c r="R235">
        <v>232</v>
      </c>
      <c r="S235">
        <v>3351446.2797722099</v>
      </c>
    </row>
    <row r="236" spans="18:19" x14ac:dyDescent="0.25">
      <c r="R236">
        <v>233</v>
      </c>
      <c r="S236">
        <v>2630654.5894299801</v>
      </c>
    </row>
    <row r="237" spans="18:19" x14ac:dyDescent="0.25">
      <c r="R237">
        <v>234</v>
      </c>
      <c r="S237">
        <v>2955933.882996399</v>
      </c>
    </row>
    <row r="238" spans="18:19" x14ac:dyDescent="0.25">
      <c r="R238">
        <v>235</v>
      </c>
      <c r="S238">
        <v>2606347.2600685344</v>
      </c>
    </row>
    <row r="239" spans="18:19" x14ac:dyDescent="0.25">
      <c r="R239">
        <v>236</v>
      </c>
      <c r="S239">
        <v>2906453.3073452725</v>
      </c>
    </row>
    <row r="240" spans="18:19" x14ac:dyDescent="0.25">
      <c r="R240">
        <v>237</v>
      </c>
      <c r="S240">
        <v>2676432.4121906892</v>
      </c>
    </row>
    <row r="241" spans="18:19" x14ac:dyDescent="0.25">
      <c r="R241">
        <v>238</v>
      </c>
      <c r="S241">
        <v>2867983.4971856214</v>
      </c>
    </row>
    <row r="242" spans="18:19" x14ac:dyDescent="0.25">
      <c r="R242">
        <v>239</v>
      </c>
      <c r="S242">
        <v>3293938.4013178484</v>
      </c>
    </row>
    <row r="243" spans="18:19" x14ac:dyDescent="0.25">
      <c r="R243">
        <v>240</v>
      </c>
      <c r="S243">
        <v>2671539.0980318491</v>
      </c>
    </row>
    <row r="244" spans="18:19" x14ac:dyDescent="0.25">
      <c r="R244">
        <v>241</v>
      </c>
      <c r="S244">
        <v>3361469.8471095879</v>
      </c>
    </row>
    <row r="245" spans="18:19" x14ac:dyDescent="0.25">
      <c r="R245">
        <v>242</v>
      </c>
      <c r="S245">
        <v>2650917.9963358836</v>
      </c>
    </row>
    <row r="246" spans="18:19" x14ac:dyDescent="0.25">
      <c r="R246">
        <v>243</v>
      </c>
      <c r="S246">
        <v>2192772.0943329786</v>
      </c>
    </row>
    <row r="247" spans="18:19" x14ac:dyDescent="0.25">
      <c r="R247">
        <v>244</v>
      </c>
      <c r="S247">
        <v>2106431.8510481678</v>
      </c>
    </row>
    <row r="248" spans="18:19" x14ac:dyDescent="0.25">
      <c r="R248">
        <v>245</v>
      </c>
      <c r="S248">
        <v>2815721.7849888019</v>
      </c>
    </row>
    <row r="249" spans="18:19" x14ac:dyDescent="0.25">
      <c r="R249">
        <v>246</v>
      </c>
      <c r="S249">
        <v>2082644.4852792579</v>
      </c>
    </row>
    <row r="250" spans="18:19" x14ac:dyDescent="0.25">
      <c r="R250">
        <v>247</v>
      </c>
      <c r="S250">
        <v>2560625.9728775951</v>
      </c>
    </row>
    <row r="251" spans="18:19" x14ac:dyDescent="0.25">
      <c r="R251">
        <v>248</v>
      </c>
      <c r="S251">
        <v>3217063.3993283096</v>
      </c>
    </row>
    <row r="252" spans="18:19" x14ac:dyDescent="0.25">
      <c r="R252">
        <v>249</v>
      </c>
      <c r="S252">
        <v>2751238.7487731613</v>
      </c>
    </row>
    <row r="253" spans="18:19" x14ac:dyDescent="0.25">
      <c r="R253">
        <v>250</v>
      </c>
      <c r="S253">
        <v>2400613.284347699</v>
      </c>
    </row>
    <row r="254" spans="18:19" x14ac:dyDescent="0.25">
      <c r="R254">
        <v>251</v>
      </c>
      <c r="S254">
        <v>2725589.4366801828</v>
      </c>
    </row>
    <row r="255" spans="18:19" x14ac:dyDescent="0.25">
      <c r="R255">
        <v>252</v>
      </c>
      <c r="S255">
        <v>2566445.4509604396</v>
      </c>
    </row>
    <row r="256" spans="18:19" x14ac:dyDescent="0.25">
      <c r="R256">
        <v>253</v>
      </c>
      <c r="S256">
        <v>2802273.2307561757</v>
      </c>
    </row>
    <row r="257" spans="18:19" x14ac:dyDescent="0.25">
      <c r="R257">
        <v>254</v>
      </c>
      <c r="S257">
        <v>2591059.5123131331</v>
      </c>
    </row>
    <row r="258" spans="18:19" x14ac:dyDescent="0.25">
      <c r="R258">
        <v>255</v>
      </c>
      <c r="S258">
        <v>2434328.3227229374</v>
      </c>
    </row>
    <row r="259" spans="18:19" x14ac:dyDescent="0.25">
      <c r="R259">
        <v>256</v>
      </c>
      <c r="S259">
        <v>3121050.1240087165</v>
      </c>
    </row>
    <row r="260" spans="18:19" x14ac:dyDescent="0.25">
      <c r="R260">
        <v>257</v>
      </c>
      <c r="S260">
        <v>2311619.0347424741</v>
      </c>
    </row>
    <row r="261" spans="18:19" x14ac:dyDescent="0.25">
      <c r="R261">
        <v>258</v>
      </c>
      <c r="S261">
        <v>1856282.8412925089</v>
      </c>
    </row>
    <row r="262" spans="18:19" x14ac:dyDescent="0.25">
      <c r="R262">
        <v>259</v>
      </c>
      <c r="S262">
        <v>2872930.5468043643</v>
      </c>
    </row>
    <row r="263" spans="18:19" x14ac:dyDescent="0.25">
      <c r="R263">
        <v>260</v>
      </c>
      <c r="S263">
        <v>2801947.1416365476</v>
      </c>
    </row>
    <row r="264" spans="18:19" x14ac:dyDescent="0.25">
      <c r="R264">
        <v>261</v>
      </c>
      <c r="S264">
        <v>1983363.6420073432</v>
      </c>
    </row>
    <row r="265" spans="18:19" x14ac:dyDescent="0.25">
      <c r="R265">
        <v>262</v>
      </c>
      <c r="S265">
        <v>3276620.8872592421</v>
      </c>
    </row>
    <row r="266" spans="18:19" x14ac:dyDescent="0.25">
      <c r="R266">
        <v>263</v>
      </c>
      <c r="S266">
        <v>2737261.2665504902</v>
      </c>
    </row>
    <row r="267" spans="18:19" x14ac:dyDescent="0.25">
      <c r="R267">
        <v>264</v>
      </c>
      <c r="S267">
        <v>2760693.9994809311</v>
      </c>
    </row>
    <row r="268" spans="18:19" x14ac:dyDescent="0.25">
      <c r="R268">
        <v>265</v>
      </c>
      <c r="S268">
        <v>2591844.51787607</v>
      </c>
    </row>
    <row r="269" spans="18:19" x14ac:dyDescent="0.25">
      <c r="R269">
        <v>266</v>
      </c>
      <c r="S269">
        <v>3409058.5876891864</v>
      </c>
    </row>
    <row r="270" spans="18:19" x14ac:dyDescent="0.25">
      <c r="R270">
        <v>267</v>
      </c>
      <c r="S270">
        <v>3292903.050083355</v>
      </c>
    </row>
    <row r="271" spans="18:19" x14ac:dyDescent="0.25">
      <c r="R271">
        <v>268</v>
      </c>
      <c r="S271">
        <v>2969234.9672629475</v>
      </c>
    </row>
    <row r="272" spans="18:19" x14ac:dyDescent="0.25">
      <c r="R272">
        <v>269</v>
      </c>
      <c r="S272">
        <v>2743950.6354600121</v>
      </c>
    </row>
    <row r="273" spans="18:19" x14ac:dyDescent="0.25">
      <c r="R273">
        <v>270</v>
      </c>
      <c r="S273">
        <v>2894183.2262232434</v>
      </c>
    </row>
    <row r="274" spans="18:19" x14ac:dyDescent="0.25">
      <c r="R274">
        <v>271</v>
      </c>
      <c r="S274">
        <v>3222439.724346885</v>
      </c>
    </row>
    <row r="275" spans="18:19" x14ac:dyDescent="0.25">
      <c r="R275">
        <v>272</v>
      </c>
      <c r="S275">
        <v>2144434.2174409991</v>
      </c>
    </row>
    <row r="276" spans="18:19" x14ac:dyDescent="0.25">
      <c r="R276">
        <v>273</v>
      </c>
      <c r="S276">
        <v>2426472.9747590693</v>
      </c>
    </row>
    <row r="277" spans="18:19" x14ac:dyDescent="0.25">
      <c r="R277">
        <v>274</v>
      </c>
      <c r="S277">
        <v>3190735.1538836556</v>
      </c>
    </row>
    <row r="278" spans="18:19" x14ac:dyDescent="0.25">
      <c r="R278">
        <v>275</v>
      </c>
      <c r="S278">
        <v>2739303.126625591</v>
      </c>
    </row>
    <row r="279" spans="18:19" x14ac:dyDescent="0.25">
      <c r="R279">
        <v>276</v>
      </c>
      <c r="S279">
        <v>3166674.5494119246</v>
      </c>
    </row>
    <row r="280" spans="18:19" x14ac:dyDescent="0.25">
      <c r="R280">
        <v>277</v>
      </c>
      <c r="S280">
        <v>2707657.2698270297</v>
      </c>
    </row>
    <row r="281" spans="18:19" x14ac:dyDescent="0.25">
      <c r="R281">
        <v>278</v>
      </c>
      <c r="S281">
        <v>3124706.7693170961</v>
      </c>
    </row>
    <row r="282" spans="18:19" x14ac:dyDescent="0.25">
      <c r="R282">
        <v>279</v>
      </c>
      <c r="S282">
        <v>2947744.5625344194</v>
      </c>
    </row>
    <row r="283" spans="18:19" x14ac:dyDescent="0.25">
      <c r="R283">
        <v>280</v>
      </c>
      <c r="S283">
        <v>2541683.9706406938</v>
      </c>
    </row>
    <row r="284" spans="18:19" x14ac:dyDescent="0.25">
      <c r="R284">
        <v>281</v>
      </c>
      <c r="S284">
        <v>2446290.5095048421</v>
      </c>
    </row>
    <row r="285" spans="18:19" x14ac:dyDescent="0.25">
      <c r="R285">
        <v>282</v>
      </c>
      <c r="S285">
        <v>2769338.47404736</v>
      </c>
    </row>
    <row r="286" spans="18:19" x14ac:dyDescent="0.25">
      <c r="R286">
        <v>283</v>
      </c>
      <c r="S286">
        <v>2882889.9369539642</v>
      </c>
    </row>
    <row r="287" spans="18:19" x14ac:dyDescent="0.25">
      <c r="R287">
        <v>284</v>
      </c>
      <c r="S287">
        <v>1705609.1289226671</v>
      </c>
    </row>
    <row r="288" spans="18:19" x14ac:dyDescent="0.25">
      <c r="R288">
        <v>285</v>
      </c>
      <c r="S288">
        <v>2648473.1985258004</v>
      </c>
    </row>
    <row r="289" spans="18:19" x14ac:dyDescent="0.25">
      <c r="R289">
        <v>286</v>
      </c>
      <c r="S289">
        <v>2166901.8637149772</v>
      </c>
    </row>
    <row r="290" spans="18:19" x14ac:dyDescent="0.25">
      <c r="R290">
        <v>287</v>
      </c>
      <c r="S290">
        <v>2388178.5524983346</v>
      </c>
    </row>
    <row r="291" spans="18:19" x14ac:dyDescent="0.25">
      <c r="R291">
        <v>288</v>
      </c>
      <c r="S291">
        <v>3194989.3046380584</v>
      </c>
    </row>
    <row r="292" spans="18:19" x14ac:dyDescent="0.25">
      <c r="R292">
        <v>289</v>
      </c>
      <c r="S292">
        <v>2652869.3875199221</v>
      </c>
    </row>
    <row r="293" spans="18:19" x14ac:dyDescent="0.25">
      <c r="R293">
        <v>290</v>
      </c>
      <c r="S293">
        <v>2564836.4489869382</v>
      </c>
    </row>
    <row r="294" spans="18:19" x14ac:dyDescent="0.25">
      <c r="R294">
        <v>291</v>
      </c>
      <c r="S294">
        <v>2578993.0859840605</v>
      </c>
    </row>
    <row r="295" spans="18:19" x14ac:dyDescent="0.25">
      <c r="R295">
        <v>292</v>
      </c>
      <c r="S295">
        <v>2882829.3994944268</v>
      </c>
    </row>
    <row r="296" spans="18:19" x14ac:dyDescent="0.25">
      <c r="R296">
        <v>293</v>
      </c>
      <c r="S296">
        <v>3273249.8859492852</v>
      </c>
    </row>
    <row r="297" spans="18:19" x14ac:dyDescent="0.25">
      <c r="R297">
        <v>294</v>
      </c>
      <c r="S297">
        <v>2239895.5990423877</v>
      </c>
    </row>
    <row r="298" spans="18:19" x14ac:dyDescent="0.25">
      <c r="R298">
        <v>295</v>
      </c>
      <c r="S298">
        <v>3068282.7540504672</v>
      </c>
    </row>
    <row r="299" spans="18:19" x14ac:dyDescent="0.25">
      <c r="R299">
        <v>296</v>
      </c>
      <c r="S299">
        <v>2581024.6897123717</v>
      </c>
    </row>
    <row r="300" spans="18:19" x14ac:dyDescent="0.25">
      <c r="R300">
        <v>297</v>
      </c>
      <c r="S300">
        <v>2704624.6209056601</v>
      </c>
    </row>
    <row r="301" spans="18:19" x14ac:dyDescent="0.25">
      <c r="R301">
        <v>298</v>
      </c>
      <c r="S301">
        <v>2691041.3455493343</v>
      </c>
    </row>
    <row r="302" spans="18:19" x14ac:dyDescent="0.25">
      <c r="R302">
        <v>299</v>
      </c>
      <c r="S302">
        <v>2614092.3643115344</v>
      </c>
    </row>
    <row r="303" spans="18:19" x14ac:dyDescent="0.25">
      <c r="R303">
        <v>300</v>
      </c>
      <c r="S303">
        <v>2447304.0476747537</v>
      </c>
    </row>
    <row r="304" spans="18:19" x14ac:dyDescent="0.25">
      <c r="R304">
        <v>301</v>
      </c>
      <c r="S304">
        <v>2403861.1504173828</v>
      </c>
    </row>
    <row r="305" spans="18:19" x14ac:dyDescent="0.25">
      <c r="R305">
        <v>302</v>
      </c>
      <c r="S305">
        <v>3413840.9496876569</v>
      </c>
    </row>
    <row r="306" spans="18:19" x14ac:dyDescent="0.25">
      <c r="R306">
        <v>303</v>
      </c>
      <c r="S306">
        <v>2973326.1933572935</v>
      </c>
    </row>
    <row r="307" spans="18:19" x14ac:dyDescent="0.25">
      <c r="R307">
        <v>304</v>
      </c>
      <c r="S307">
        <v>2607215.6788487365</v>
      </c>
    </row>
    <row r="308" spans="18:19" x14ac:dyDescent="0.25">
      <c r="R308">
        <v>305</v>
      </c>
      <c r="S308">
        <v>2811233.5509104561</v>
      </c>
    </row>
    <row r="309" spans="18:19" x14ac:dyDescent="0.25">
      <c r="R309">
        <v>306</v>
      </c>
      <c r="S309">
        <v>2350166.3528107284</v>
      </c>
    </row>
    <row r="310" spans="18:19" x14ac:dyDescent="0.25">
      <c r="R310">
        <v>307</v>
      </c>
      <c r="S310">
        <v>2763314.1269471403</v>
      </c>
    </row>
    <row r="311" spans="18:19" x14ac:dyDescent="0.25">
      <c r="R311">
        <v>308</v>
      </c>
      <c r="S311">
        <v>3138237.2564352327</v>
      </c>
    </row>
    <row r="312" spans="18:19" x14ac:dyDescent="0.25">
      <c r="R312">
        <v>309</v>
      </c>
      <c r="S312">
        <v>2754390.9759630263</v>
      </c>
    </row>
    <row r="313" spans="18:19" x14ac:dyDescent="0.25">
      <c r="R313">
        <v>310</v>
      </c>
      <c r="S313">
        <v>3262608.0030941167</v>
      </c>
    </row>
    <row r="314" spans="18:19" x14ac:dyDescent="0.25">
      <c r="R314">
        <v>311</v>
      </c>
      <c r="S314">
        <v>2431135.8087981208</v>
      </c>
    </row>
    <row r="315" spans="18:19" x14ac:dyDescent="0.25">
      <c r="R315">
        <v>312</v>
      </c>
      <c r="S315">
        <v>2650079.2522820211</v>
      </c>
    </row>
    <row r="316" spans="18:19" x14ac:dyDescent="0.25">
      <c r="R316">
        <v>313</v>
      </c>
      <c r="S316">
        <v>2924918.8475238029</v>
      </c>
    </row>
    <row r="317" spans="18:19" x14ac:dyDescent="0.25">
      <c r="R317">
        <v>314</v>
      </c>
      <c r="S317">
        <v>2672557.2173862183</v>
      </c>
    </row>
    <row r="318" spans="18:19" x14ac:dyDescent="0.25">
      <c r="R318">
        <v>315</v>
      </c>
      <c r="S318">
        <v>2632657.7114393706</v>
      </c>
    </row>
    <row r="319" spans="18:19" x14ac:dyDescent="0.25">
      <c r="R319">
        <v>316</v>
      </c>
      <c r="S319">
        <v>2579731.6420206348</v>
      </c>
    </row>
    <row r="320" spans="18:19" x14ac:dyDescent="0.25">
      <c r="R320">
        <v>317</v>
      </c>
      <c r="S320">
        <v>2375382.51204242</v>
      </c>
    </row>
    <row r="321" spans="18:19" x14ac:dyDescent="0.25">
      <c r="R321">
        <v>318</v>
      </c>
      <c r="S321">
        <v>2864203.8112381026</v>
      </c>
    </row>
    <row r="322" spans="18:19" x14ac:dyDescent="0.25">
      <c r="R322">
        <v>319</v>
      </c>
      <c r="S322">
        <v>2579766.3155929064</v>
      </c>
    </row>
    <row r="323" spans="18:19" x14ac:dyDescent="0.25">
      <c r="R323">
        <v>320</v>
      </c>
      <c r="S323">
        <v>2756988.5387661536</v>
      </c>
    </row>
    <row r="324" spans="18:19" x14ac:dyDescent="0.25">
      <c r="R324">
        <v>321</v>
      </c>
      <c r="S324">
        <v>2453631.6473113056</v>
      </c>
    </row>
    <row r="325" spans="18:19" x14ac:dyDescent="0.25">
      <c r="R325">
        <v>322</v>
      </c>
      <c r="S325">
        <v>2628427.4943726459</v>
      </c>
    </row>
    <row r="326" spans="18:19" x14ac:dyDescent="0.25">
      <c r="R326">
        <v>323</v>
      </c>
      <c r="S326">
        <v>3185255.6735455962</v>
      </c>
    </row>
    <row r="327" spans="18:19" x14ac:dyDescent="0.25">
      <c r="R327">
        <v>324</v>
      </c>
      <c r="S327">
        <v>2645837.0177760567</v>
      </c>
    </row>
    <row r="328" spans="18:19" x14ac:dyDescent="0.25">
      <c r="R328">
        <v>325</v>
      </c>
      <c r="S328">
        <v>2302673.6143418425</v>
      </c>
    </row>
    <row r="329" spans="18:19" x14ac:dyDescent="0.25">
      <c r="R329">
        <v>326</v>
      </c>
      <c r="S329">
        <v>3016552.1625865707</v>
      </c>
    </row>
    <row r="330" spans="18:19" x14ac:dyDescent="0.25">
      <c r="R330">
        <v>327</v>
      </c>
      <c r="S330">
        <v>2860962.1708904896</v>
      </c>
    </row>
    <row r="331" spans="18:19" x14ac:dyDescent="0.25">
      <c r="R331">
        <v>328</v>
      </c>
      <c r="S331">
        <v>2653937.8173726113</v>
      </c>
    </row>
    <row r="332" spans="18:19" x14ac:dyDescent="0.25">
      <c r="R332">
        <v>329</v>
      </c>
      <c r="S332">
        <v>2369790.5814190307</v>
      </c>
    </row>
    <row r="333" spans="18:19" x14ac:dyDescent="0.25">
      <c r="R333">
        <v>330</v>
      </c>
      <c r="S333">
        <v>2827031.9392906055</v>
      </c>
    </row>
    <row r="334" spans="18:19" x14ac:dyDescent="0.25">
      <c r="R334">
        <v>331</v>
      </c>
      <c r="S334">
        <v>2489435.5775361247</v>
      </c>
    </row>
    <row r="335" spans="18:19" x14ac:dyDescent="0.25">
      <c r="R335">
        <v>332</v>
      </c>
      <c r="S335">
        <v>3012078.091293429</v>
      </c>
    </row>
    <row r="336" spans="18:19" x14ac:dyDescent="0.25">
      <c r="R336">
        <v>333</v>
      </c>
      <c r="S336">
        <v>2400023.4372251956</v>
      </c>
    </row>
    <row r="337" spans="18:19" x14ac:dyDescent="0.25">
      <c r="R337">
        <v>334</v>
      </c>
      <c r="S337">
        <v>3253869.0971023329</v>
      </c>
    </row>
    <row r="338" spans="18:19" x14ac:dyDescent="0.25">
      <c r="R338">
        <v>335</v>
      </c>
      <c r="S338">
        <v>2223897.0980769861</v>
      </c>
    </row>
    <row r="339" spans="18:19" x14ac:dyDescent="0.25">
      <c r="R339">
        <v>336</v>
      </c>
      <c r="S339">
        <v>2845112.5561164287</v>
      </c>
    </row>
    <row r="340" spans="18:19" x14ac:dyDescent="0.25">
      <c r="R340">
        <v>337</v>
      </c>
      <c r="S340">
        <v>2635359.2401014194</v>
      </c>
    </row>
    <row r="341" spans="18:19" x14ac:dyDescent="0.25">
      <c r="R341">
        <v>338</v>
      </c>
      <c r="S341">
        <v>2520584.9286774248</v>
      </c>
    </row>
    <row r="342" spans="18:19" x14ac:dyDescent="0.25">
      <c r="R342">
        <v>339</v>
      </c>
      <c r="S342">
        <v>2343448.565177578</v>
      </c>
    </row>
    <row r="343" spans="18:19" x14ac:dyDescent="0.25">
      <c r="R343">
        <v>340</v>
      </c>
      <c r="S343">
        <v>2455894.5267017321</v>
      </c>
    </row>
    <row r="344" spans="18:19" x14ac:dyDescent="0.25">
      <c r="R344">
        <v>341</v>
      </c>
      <c r="S344">
        <v>2684690.7448764732</v>
      </c>
    </row>
    <row r="345" spans="18:19" x14ac:dyDescent="0.25">
      <c r="R345">
        <v>342</v>
      </c>
      <c r="S345">
        <v>2535770.9729456678</v>
      </c>
    </row>
    <row r="346" spans="18:19" x14ac:dyDescent="0.25">
      <c r="R346">
        <v>343</v>
      </c>
      <c r="S346">
        <v>2739161.4000599366</v>
      </c>
    </row>
    <row r="347" spans="18:19" x14ac:dyDescent="0.25">
      <c r="R347">
        <v>344</v>
      </c>
      <c r="S347">
        <v>2517740.0758638731</v>
      </c>
    </row>
    <row r="348" spans="18:19" x14ac:dyDescent="0.25">
      <c r="R348">
        <v>345</v>
      </c>
      <c r="S348">
        <v>2934729.8080223557</v>
      </c>
    </row>
    <row r="349" spans="18:19" x14ac:dyDescent="0.25">
      <c r="R349">
        <v>346</v>
      </c>
      <c r="S349">
        <v>2563084.8242347622</v>
      </c>
    </row>
    <row r="350" spans="18:19" x14ac:dyDescent="0.25">
      <c r="R350">
        <v>347</v>
      </c>
      <c r="S350">
        <v>2760919.5838325359</v>
      </c>
    </row>
    <row r="351" spans="18:19" x14ac:dyDescent="0.25">
      <c r="R351">
        <v>348</v>
      </c>
      <c r="S351">
        <v>2887634.4542345079</v>
      </c>
    </row>
    <row r="352" spans="18:19" x14ac:dyDescent="0.25">
      <c r="R352">
        <v>349</v>
      </c>
      <c r="S352">
        <v>2701948.7236690382</v>
      </c>
    </row>
    <row r="353" spans="18:19" x14ac:dyDescent="0.25">
      <c r="R353">
        <v>350</v>
      </c>
      <c r="S353">
        <v>2521420.6769215483</v>
      </c>
    </row>
    <row r="354" spans="18:19" x14ac:dyDescent="0.25">
      <c r="R354">
        <v>351</v>
      </c>
      <c r="S354">
        <v>3117335.6426112698</v>
      </c>
    </row>
    <row r="355" spans="18:19" x14ac:dyDescent="0.25">
      <c r="R355">
        <v>352</v>
      </c>
      <c r="S355">
        <v>2136628.5519704591</v>
      </c>
    </row>
    <row r="356" spans="18:19" x14ac:dyDescent="0.25">
      <c r="R356">
        <v>353</v>
      </c>
      <c r="S356">
        <v>2762724.1183651499</v>
      </c>
    </row>
    <row r="357" spans="18:19" x14ac:dyDescent="0.25">
      <c r="R357">
        <v>354</v>
      </c>
      <c r="S357">
        <v>2752071.1482715379</v>
      </c>
    </row>
    <row r="358" spans="18:19" x14ac:dyDescent="0.25">
      <c r="R358">
        <v>355</v>
      </c>
      <c r="S358">
        <v>2655450.6468743789</v>
      </c>
    </row>
    <row r="359" spans="18:19" x14ac:dyDescent="0.25">
      <c r="R359">
        <v>356</v>
      </c>
      <c r="S359">
        <v>3227822.4237089874</v>
      </c>
    </row>
    <row r="360" spans="18:19" x14ac:dyDescent="0.25">
      <c r="R360">
        <v>357</v>
      </c>
      <c r="S360">
        <v>2278159.0673827799</v>
      </c>
    </row>
    <row r="361" spans="18:19" x14ac:dyDescent="0.25">
      <c r="R361">
        <v>358</v>
      </c>
      <c r="S361">
        <v>3040707.7372276727</v>
      </c>
    </row>
    <row r="362" spans="18:19" x14ac:dyDescent="0.25">
      <c r="R362">
        <v>359</v>
      </c>
      <c r="S362">
        <v>2666876.5203245152</v>
      </c>
    </row>
    <row r="363" spans="18:19" x14ac:dyDescent="0.25">
      <c r="R363">
        <v>360</v>
      </c>
      <c r="S363">
        <v>2076006.0005575332</v>
      </c>
    </row>
    <row r="364" spans="18:19" x14ac:dyDescent="0.25">
      <c r="R364">
        <v>361</v>
      </c>
      <c r="S364">
        <v>2521153.3682328733</v>
      </c>
    </row>
    <row r="365" spans="18:19" x14ac:dyDescent="0.25">
      <c r="R365">
        <v>362</v>
      </c>
      <c r="S365">
        <v>2251118.9302614899</v>
      </c>
    </row>
    <row r="366" spans="18:19" x14ac:dyDescent="0.25">
      <c r="R366">
        <v>363</v>
      </c>
      <c r="S366">
        <v>2658686.7534110146</v>
      </c>
    </row>
    <row r="367" spans="18:19" x14ac:dyDescent="0.25">
      <c r="R367">
        <v>364</v>
      </c>
      <c r="S367">
        <v>2574511.2942699427</v>
      </c>
    </row>
    <row r="368" spans="18:19" x14ac:dyDescent="0.25">
      <c r="R368">
        <v>365</v>
      </c>
      <c r="S368">
        <v>3129096.6125175091</v>
      </c>
    </row>
    <row r="369" spans="18:19" x14ac:dyDescent="0.25">
      <c r="R369">
        <v>366</v>
      </c>
      <c r="S369">
        <v>2780048.8661851259</v>
      </c>
    </row>
    <row r="370" spans="18:19" x14ac:dyDescent="0.25">
      <c r="R370">
        <v>367</v>
      </c>
      <c r="S370">
        <v>2930428.6844256241</v>
      </c>
    </row>
    <row r="371" spans="18:19" x14ac:dyDescent="0.25">
      <c r="R371">
        <v>368</v>
      </c>
      <c r="S371">
        <v>3377898.1679141242</v>
      </c>
    </row>
    <row r="372" spans="18:19" x14ac:dyDescent="0.25">
      <c r="R372">
        <v>369</v>
      </c>
      <c r="S372">
        <v>3022016.7204637593</v>
      </c>
    </row>
    <row r="373" spans="18:19" x14ac:dyDescent="0.25">
      <c r="R373">
        <v>370</v>
      </c>
      <c r="S373">
        <v>2806833.3892460638</v>
      </c>
    </row>
    <row r="374" spans="18:19" x14ac:dyDescent="0.25">
      <c r="R374">
        <v>371</v>
      </c>
      <c r="S374">
        <v>2412710.2655819696</v>
      </c>
    </row>
    <row r="375" spans="18:19" x14ac:dyDescent="0.25">
      <c r="R375">
        <v>372</v>
      </c>
      <c r="S375">
        <v>2234785.4399933983</v>
      </c>
    </row>
    <row r="376" spans="18:19" x14ac:dyDescent="0.25">
      <c r="R376">
        <v>373</v>
      </c>
      <c r="S376">
        <v>2837808.4997349898</v>
      </c>
    </row>
    <row r="377" spans="18:19" x14ac:dyDescent="0.25">
      <c r="R377">
        <v>374</v>
      </c>
      <c r="S377">
        <v>2883682.4141085022</v>
      </c>
    </row>
    <row r="378" spans="18:19" x14ac:dyDescent="0.25">
      <c r="R378">
        <v>375</v>
      </c>
      <c r="S378">
        <v>2094847.390942368</v>
      </c>
    </row>
    <row r="379" spans="18:19" x14ac:dyDescent="0.25">
      <c r="R379">
        <v>376</v>
      </c>
      <c r="S379">
        <v>2743465.3018661574</v>
      </c>
    </row>
    <row r="380" spans="18:19" x14ac:dyDescent="0.25">
      <c r="R380">
        <v>377</v>
      </c>
      <c r="S380">
        <v>2734514.4993793578</v>
      </c>
    </row>
    <row r="381" spans="18:19" x14ac:dyDescent="0.25">
      <c r="R381">
        <v>378</v>
      </c>
      <c r="S381">
        <v>2477608.967885511</v>
      </c>
    </row>
    <row r="382" spans="18:19" x14ac:dyDescent="0.25">
      <c r="R382">
        <v>379</v>
      </c>
      <c r="S382">
        <v>2479156.289941465</v>
      </c>
    </row>
    <row r="383" spans="18:19" x14ac:dyDescent="0.25">
      <c r="R383">
        <v>380</v>
      </c>
      <c r="S383">
        <v>2818512.0155056631</v>
      </c>
    </row>
    <row r="384" spans="18:19" x14ac:dyDescent="0.25">
      <c r="R384">
        <v>381</v>
      </c>
      <c r="S384">
        <v>2382205.8245655866</v>
      </c>
    </row>
    <row r="385" spans="18:19" x14ac:dyDescent="0.25">
      <c r="R385">
        <v>382</v>
      </c>
      <c r="S385">
        <v>2620899.6299762549</v>
      </c>
    </row>
    <row r="386" spans="18:19" x14ac:dyDescent="0.25">
      <c r="R386">
        <v>383</v>
      </c>
      <c r="S386">
        <v>3122972.6411507176</v>
      </c>
    </row>
    <row r="387" spans="18:19" x14ac:dyDescent="0.25">
      <c r="R387">
        <v>384</v>
      </c>
      <c r="S387">
        <v>2251011.5868518502</v>
      </c>
    </row>
    <row r="388" spans="18:19" x14ac:dyDescent="0.25">
      <c r="R388">
        <v>385</v>
      </c>
      <c r="S388">
        <v>2661701.2566751698</v>
      </c>
    </row>
    <row r="389" spans="18:19" x14ac:dyDescent="0.25">
      <c r="R389">
        <v>386</v>
      </c>
      <c r="S389">
        <v>2572715.1755651813</v>
      </c>
    </row>
    <row r="390" spans="18:19" x14ac:dyDescent="0.25">
      <c r="R390">
        <v>387</v>
      </c>
      <c r="S390">
        <v>2504300.478885585</v>
      </c>
    </row>
    <row r="391" spans="18:19" x14ac:dyDescent="0.25">
      <c r="R391">
        <v>388</v>
      </c>
      <c r="S391">
        <v>3496846.9460912975</v>
      </c>
    </row>
    <row r="392" spans="18:19" x14ac:dyDescent="0.25">
      <c r="R392">
        <v>389</v>
      </c>
      <c r="S392">
        <v>2819273.1081545199</v>
      </c>
    </row>
    <row r="393" spans="18:19" x14ac:dyDescent="0.25">
      <c r="R393">
        <v>390</v>
      </c>
      <c r="S393">
        <v>2692107.6012487458</v>
      </c>
    </row>
    <row r="394" spans="18:19" x14ac:dyDescent="0.25">
      <c r="R394">
        <v>391</v>
      </c>
      <c r="S394">
        <v>2589033.7086262447</v>
      </c>
    </row>
    <row r="395" spans="18:19" x14ac:dyDescent="0.25">
      <c r="R395">
        <v>392</v>
      </c>
      <c r="S395">
        <v>2432548.4720908809</v>
      </c>
    </row>
    <row r="396" spans="18:19" x14ac:dyDescent="0.25">
      <c r="R396">
        <v>393</v>
      </c>
      <c r="S396">
        <v>2671081.2995509105</v>
      </c>
    </row>
    <row r="397" spans="18:19" x14ac:dyDescent="0.25">
      <c r="R397">
        <v>394</v>
      </c>
      <c r="S397">
        <v>2580512.5555450469</v>
      </c>
    </row>
    <row r="398" spans="18:19" x14ac:dyDescent="0.25">
      <c r="R398">
        <v>395</v>
      </c>
      <c r="S398">
        <v>2279276.9298553183</v>
      </c>
    </row>
    <row r="399" spans="18:19" x14ac:dyDescent="0.25">
      <c r="R399">
        <v>396</v>
      </c>
      <c r="S399">
        <v>3114353.3954160153</v>
      </c>
    </row>
    <row r="400" spans="18:19" x14ac:dyDescent="0.25">
      <c r="R400">
        <v>397</v>
      </c>
      <c r="S400">
        <v>2722784.6172828418</v>
      </c>
    </row>
    <row r="401" spans="18:19" x14ac:dyDescent="0.25">
      <c r="R401">
        <v>398</v>
      </c>
      <c r="S401">
        <v>1955353.5106799153</v>
      </c>
    </row>
    <row r="402" spans="18:19" x14ac:dyDescent="0.25">
      <c r="R402">
        <v>399</v>
      </c>
      <c r="S402">
        <v>2698337.1926148077</v>
      </c>
    </row>
    <row r="403" spans="18:19" x14ac:dyDescent="0.25">
      <c r="R403">
        <v>400</v>
      </c>
      <c r="S403">
        <v>2354717.7996002343</v>
      </c>
    </row>
    <row r="404" spans="18:19" x14ac:dyDescent="0.25">
      <c r="R404">
        <v>401</v>
      </c>
      <c r="S404">
        <v>2271783.0451809159</v>
      </c>
    </row>
    <row r="405" spans="18:19" x14ac:dyDescent="0.25">
      <c r="R405">
        <v>402</v>
      </c>
      <c r="S405">
        <v>2235822.9500647387</v>
      </c>
    </row>
    <row r="406" spans="18:19" x14ac:dyDescent="0.25">
      <c r="R406">
        <v>403</v>
      </c>
      <c r="S406">
        <v>2529344.4472630066</v>
      </c>
    </row>
    <row r="407" spans="18:19" x14ac:dyDescent="0.25">
      <c r="R407">
        <v>404</v>
      </c>
      <c r="S407">
        <v>3158981.5606447281</v>
      </c>
    </row>
    <row r="408" spans="18:19" x14ac:dyDescent="0.25">
      <c r="R408">
        <v>405</v>
      </c>
      <c r="S408">
        <v>2806901.3403870561</v>
      </c>
    </row>
    <row r="409" spans="18:19" x14ac:dyDescent="0.25">
      <c r="R409">
        <v>406</v>
      </c>
      <c r="S409">
        <v>3005826.8373931898</v>
      </c>
    </row>
    <row r="410" spans="18:19" x14ac:dyDescent="0.25">
      <c r="R410">
        <v>407</v>
      </c>
      <c r="S410">
        <v>2635850.6452398575</v>
      </c>
    </row>
    <row r="411" spans="18:19" x14ac:dyDescent="0.25">
      <c r="R411">
        <v>408</v>
      </c>
      <c r="S411">
        <v>2594010.5916562323</v>
      </c>
    </row>
    <row r="412" spans="18:19" x14ac:dyDescent="0.25">
      <c r="R412">
        <v>409</v>
      </c>
      <c r="S412">
        <v>2199623.9296573251</v>
      </c>
    </row>
    <row r="413" spans="18:19" x14ac:dyDescent="0.25">
      <c r="R413">
        <v>410</v>
      </c>
      <c r="S413">
        <v>2879111.5360450083</v>
      </c>
    </row>
    <row r="414" spans="18:19" x14ac:dyDescent="0.25">
      <c r="R414">
        <v>411</v>
      </c>
      <c r="S414">
        <v>2629832.9923314736</v>
      </c>
    </row>
    <row r="415" spans="18:19" x14ac:dyDescent="0.25">
      <c r="R415">
        <v>412</v>
      </c>
      <c r="S415">
        <v>3007452.6031947709</v>
      </c>
    </row>
    <row r="416" spans="18:19" x14ac:dyDescent="0.25">
      <c r="R416">
        <v>413</v>
      </c>
      <c r="S416">
        <v>2960926.1156632728</v>
      </c>
    </row>
    <row r="417" spans="18:19" x14ac:dyDescent="0.25">
      <c r="R417">
        <v>414</v>
      </c>
      <c r="S417">
        <v>2861501.9327116441</v>
      </c>
    </row>
    <row r="418" spans="18:19" x14ac:dyDescent="0.25">
      <c r="R418">
        <v>415</v>
      </c>
      <c r="S418">
        <v>3241357.1958112516</v>
      </c>
    </row>
    <row r="419" spans="18:19" x14ac:dyDescent="0.25">
      <c r="R419">
        <v>416</v>
      </c>
      <c r="S419">
        <v>2942099.0834206468</v>
      </c>
    </row>
    <row r="420" spans="18:19" x14ac:dyDescent="0.25">
      <c r="R420">
        <v>417</v>
      </c>
      <c r="S420">
        <v>2656967.7947625294</v>
      </c>
    </row>
    <row r="421" spans="18:19" x14ac:dyDescent="0.25">
      <c r="R421">
        <v>418</v>
      </c>
      <c r="S421">
        <v>3298504.8631502716</v>
      </c>
    </row>
    <row r="422" spans="18:19" x14ac:dyDescent="0.25">
      <c r="R422">
        <v>419</v>
      </c>
      <c r="S422">
        <v>2702115.2199968416</v>
      </c>
    </row>
    <row r="423" spans="18:19" x14ac:dyDescent="0.25">
      <c r="R423">
        <v>420</v>
      </c>
      <c r="S423">
        <v>2553399.6323306486</v>
      </c>
    </row>
    <row r="424" spans="18:19" x14ac:dyDescent="0.25">
      <c r="R424">
        <v>421</v>
      </c>
      <c r="S424">
        <v>2941933.0796994488</v>
      </c>
    </row>
    <row r="425" spans="18:19" x14ac:dyDescent="0.25">
      <c r="R425">
        <v>422</v>
      </c>
      <c r="S425">
        <v>3333982.1922000032</v>
      </c>
    </row>
    <row r="426" spans="18:19" x14ac:dyDescent="0.25">
      <c r="R426">
        <v>423</v>
      </c>
      <c r="S426">
        <v>3285451.0345031777</v>
      </c>
    </row>
    <row r="427" spans="18:19" x14ac:dyDescent="0.25">
      <c r="R427">
        <v>424</v>
      </c>
      <c r="S427">
        <v>2481406.5163793461</v>
      </c>
    </row>
    <row r="428" spans="18:19" x14ac:dyDescent="0.25">
      <c r="R428">
        <v>425</v>
      </c>
      <c r="S428">
        <v>2974642.090788322</v>
      </c>
    </row>
    <row r="429" spans="18:19" x14ac:dyDescent="0.25">
      <c r="R429">
        <v>426</v>
      </c>
      <c r="S429">
        <v>3241303.5012971181</v>
      </c>
    </row>
    <row r="430" spans="18:19" x14ac:dyDescent="0.25">
      <c r="R430">
        <v>427</v>
      </c>
      <c r="S430">
        <v>2451013.6964422069</v>
      </c>
    </row>
    <row r="431" spans="18:19" x14ac:dyDescent="0.25">
      <c r="R431">
        <v>428</v>
      </c>
      <c r="S431">
        <v>2435419.4707340356</v>
      </c>
    </row>
    <row r="432" spans="18:19" x14ac:dyDescent="0.25">
      <c r="R432">
        <v>429</v>
      </c>
      <c r="S432">
        <v>3477652.9451823379</v>
      </c>
    </row>
    <row r="433" spans="18:19" x14ac:dyDescent="0.25">
      <c r="R433">
        <v>430</v>
      </c>
      <c r="S433">
        <v>3140205.74019511</v>
      </c>
    </row>
    <row r="434" spans="18:19" x14ac:dyDescent="0.25">
      <c r="R434">
        <v>431</v>
      </c>
      <c r="S434">
        <v>3831689.7099909186</v>
      </c>
    </row>
    <row r="435" spans="18:19" x14ac:dyDescent="0.25">
      <c r="R435">
        <v>432</v>
      </c>
      <c r="S435">
        <v>2638039.1594044222</v>
      </c>
    </row>
    <row r="436" spans="18:19" x14ac:dyDescent="0.25">
      <c r="R436">
        <v>433</v>
      </c>
      <c r="S436">
        <v>2667985.5677450276</v>
      </c>
    </row>
    <row r="437" spans="18:19" x14ac:dyDescent="0.25">
      <c r="R437">
        <v>434</v>
      </c>
      <c r="S437">
        <v>2805434.6179706147</v>
      </c>
    </row>
    <row r="438" spans="18:19" x14ac:dyDescent="0.25">
      <c r="R438">
        <v>435</v>
      </c>
      <c r="S438">
        <v>2631431.4223463135</v>
      </c>
    </row>
    <row r="439" spans="18:19" x14ac:dyDescent="0.25">
      <c r="R439">
        <v>436</v>
      </c>
      <c r="S439">
        <v>2263322.1197018479</v>
      </c>
    </row>
    <row r="440" spans="18:19" x14ac:dyDescent="0.25">
      <c r="R440">
        <v>437</v>
      </c>
      <c r="S440">
        <v>2435712.0033585108</v>
      </c>
    </row>
    <row r="441" spans="18:19" x14ac:dyDescent="0.25">
      <c r="R441">
        <v>438</v>
      </c>
      <c r="S441">
        <v>2489663.4360312582</v>
      </c>
    </row>
    <row r="442" spans="18:19" x14ac:dyDescent="0.25">
      <c r="R442">
        <v>439</v>
      </c>
      <c r="S442">
        <v>3011509.2775915847</v>
      </c>
    </row>
    <row r="443" spans="18:19" x14ac:dyDescent="0.25">
      <c r="R443">
        <v>440</v>
      </c>
      <c r="S443">
        <v>2303431.3524379958</v>
      </c>
    </row>
    <row r="444" spans="18:19" x14ac:dyDescent="0.25">
      <c r="R444">
        <v>441</v>
      </c>
      <c r="S444">
        <v>2565819.9129401478</v>
      </c>
    </row>
    <row r="445" spans="18:19" x14ac:dyDescent="0.25">
      <c r="R445">
        <v>442</v>
      </c>
      <c r="S445">
        <v>2747517.4471738762</v>
      </c>
    </row>
    <row r="446" spans="18:19" x14ac:dyDescent="0.25">
      <c r="R446">
        <v>443</v>
      </c>
      <c r="S446">
        <v>3209843.8376595476</v>
      </c>
    </row>
    <row r="447" spans="18:19" x14ac:dyDescent="0.25">
      <c r="R447">
        <v>444</v>
      </c>
      <c r="S447">
        <v>3026200.1719180457</v>
      </c>
    </row>
    <row r="448" spans="18:19" x14ac:dyDescent="0.25">
      <c r="R448">
        <v>445</v>
      </c>
      <c r="S448">
        <v>2840804.1134902537</v>
      </c>
    </row>
    <row r="449" spans="18:19" x14ac:dyDescent="0.25">
      <c r="R449">
        <v>446</v>
      </c>
      <c r="S449">
        <v>2948991.8646856546</v>
      </c>
    </row>
    <row r="450" spans="18:19" x14ac:dyDescent="0.25">
      <c r="R450">
        <v>447</v>
      </c>
      <c r="S450">
        <v>2836704.7883630656</v>
      </c>
    </row>
    <row r="451" spans="18:19" x14ac:dyDescent="0.25">
      <c r="R451">
        <v>448</v>
      </c>
      <c r="S451">
        <v>2799093.8067971068</v>
      </c>
    </row>
    <row r="452" spans="18:19" x14ac:dyDescent="0.25">
      <c r="R452">
        <v>449</v>
      </c>
      <c r="S452">
        <v>2595806.6266414486</v>
      </c>
    </row>
    <row r="453" spans="18:19" x14ac:dyDescent="0.25">
      <c r="R453">
        <v>450</v>
      </c>
      <c r="S453">
        <v>2793668.9687059289</v>
      </c>
    </row>
    <row r="454" spans="18:19" x14ac:dyDescent="0.25">
      <c r="R454">
        <v>451</v>
      </c>
      <c r="S454">
        <v>2716106.3968187273</v>
      </c>
    </row>
    <row r="455" spans="18:19" x14ac:dyDescent="0.25">
      <c r="R455">
        <v>452</v>
      </c>
      <c r="S455">
        <v>2541822.3598569976</v>
      </c>
    </row>
    <row r="456" spans="18:19" x14ac:dyDescent="0.25">
      <c r="R456">
        <v>453</v>
      </c>
      <c r="S456">
        <v>3285184.277392034</v>
      </c>
    </row>
    <row r="457" spans="18:19" x14ac:dyDescent="0.25">
      <c r="R457">
        <v>454</v>
      </c>
      <c r="S457">
        <v>2709130.2478311341</v>
      </c>
    </row>
    <row r="458" spans="18:19" x14ac:dyDescent="0.25">
      <c r="R458">
        <v>455</v>
      </c>
      <c r="S458">
        <v>3009507.5299031627</v>
      </c>
    </row>
    <row r="459" spans="18:19" x14ac:dyDescent="0.25">
      <c r="R459">
        <v>456</v>
      </c>
      <c r="S459">
        <v>2980480.8817442204</v>
      </c>
    </row>
    <row r="460" spans="18:19" x14ac:dyDescent="0.25">
      <c r="R460">
        <v>457</v>
      </c>
      <c r="S460">
        <v>3176229.8346329718</v>
      </c>
    </row>
    <row r="461" spans="18:19" x14ac:dyDescent="0.25">
      <c r="R461">
        <v>458</v>
      </c>
      <c r="S461">
        <v>2889068.8700792477</v>
      </c>
    </row>
    <row r="462" spans="18:19" x14ac:dyDescent="0.25">
      <c r="R462">
        <v>459</v>
      </c>
      <c r="S462">
        <v>3358306.2087616744</v>
      </c>
    </row>
    <row r="463" spans="18:19" x14ac:dyDescent="0.25">
      <c r="R463">
        <v>460</v>
      </c>
      <c r="S463">
        <v>3133824.0620672172</v>
      </c>
    </row>
    <row r="464" spans="18:19" x14ac:dyDescent="0.25">
      <c r="R464">
        <v>461</v>
      </c>
      <c r="S464">
        <v>2361898.1454837271</v>
      </c>
    </row>
    <row r="465" spans="18:19" x14ac:dyDescent="0.25">
      <c r="R465">
        <v>462</v>
      </c>
      <c r="S465">
        <v>2927148.155335458</v>
      </c>
    </row>
    <row r="466" spans="18:19" x14ac:dyDescent="0.25">
      <c r="R466">
        <v>463</v>
      </c>
      <c r="S466">
        <v>2516032.2323590275</v>
      </c>
    </row>
    <row r="467" spans="18:19" x14ac:dyDescent="0.25">
      <c r="R467">
        <v>464</v>
      </c>
      <c r="S467">
        <v>2371813.36307421</v>
      </c>
    </row>
    <row r="468" spans="18:19" x14ac:dyDescent="0.25">
      <c r="R468">
        <v>465</v>
      </c>
      <c r="S468">
        <v>2665260.6390309115</v>
      </c>
    </row>
    <row r="469" spans="18:19" x14ac:dyDescent="0.25">
      <c r="R469">
        <v>466</v>
      </c>
      <c r="S469">
        <v>2625347.7985671889</v>
      </c>
    </row>
    <row r="470" spans="18:19" x14ac:dyDescent="0.25">
      <c r="R470">
        <v>467</v>
      </c>
      <c r="S470">
        <v>2846689.8697090852</v>
      </c>
    </row>
    <row r="471" spans="18:19" x14ac:dyDescent="0.25">
      <c r="R471">
        <v>468</v>
      </c>
      <c r="S471">
        <v>2513964.5675119665</v>
      </c>
    </row>
    <row r="472" spans="18:19" x14ac:dyDescent="0.25">
      <c r="R472">
        <v>469</v>
      </c>
      <c r="S472">
        <v>2172448.3732211259</v>
      </c>
    </row>
    <row r="473" spans="18:19" x14ac:dyDescent="0.25">
      <c r="R473">
        <v>470</v>
      </c>
      <c r="S473">
        <v>3309580.4847933883</v>
      </c>
    </row>
    <row r="474" spans="18:19" x14ac:dyDescent="0.25">
      <c r="R474">
        <v>471</v>
      </c>
      <c r="S474">
        <v>2609651.2091064947</v>
      </c>
    </row>
    <row r="475" spans="18:19" x14ac:dyDescent="0.25">
      <c r="R475">
        <v>472</v>
      </c>
      <c r="S475">
        <v>2614162.4568180749</v>
      </c>
    </row>
    <row r="476" spans="18:19" x14ac:dyDescent="0.25">
      <c r="R476">
        <v>473</v>
      </c>
      <c r="S476">
        <v>2591107.7039041747</v>
      </c>
    </row>
    <row r="477" spans="18:19" x14ac:dyDescent="0.25">
      <c r="R477">
        <v>474</v>
      </c>
      <c r="S477">
        <v>2716357.9817669089</v>
      </c>
    </row>
    <row r="478" spans="18:19" x14ac:dyDescent="0.25">
      <c r="R478">
        <v>475</v>
      </c>
      <c r="S478">
        <v>3186661.3275718456</v>
      </c>
    </row>
    <row r="479" spans="18:19" x14ac:dyDescent="0.25">
      <c r="R479">
        <v>476</v>
      </c>
      <c r="S479">
        <v>3094424.3520924966</v>
      </c>
    </row>
    <row r="480" spans="18:19" x14ac:dyDescent="0.25">
      <c r="R480">
        <v>477</v>
      </c>
      <c r="S480">
        <v>2663273.6767297122</v>
      </c>
    </row>
    <row r="481" spans="18:19" x14ac:dyDescent="0.25">
      <c r="R481">
        <v>478</v>
      </c>
      <c r="S481">
        <v>2571314.4843694083</v>
      </c>
    </row>
    <row r="482" spans="18:19" x14ac:dyDescent="0.25">
      <c r="R482">
        <v>479</v>
      </c>
      <c r="S482">
        <v>2906390.4107043627</v>
      </c>
    </row>
    <row r="483" spans="18:19" x14ac:dyDescent="0.25">
      <c r="R483">
        <v>480</v>
      </c>
      <c r="S483">
        <v>2525018.1596133998</v>
      </c>
    </row>
    <row r="484" spans="18:19" x14ac:dyDescent="0.25">
      <c r="R484">
        <v>481</v>
      </c>
      <c r="S484">
        <v>2853674.7652691496</v>
      </c>
    </row>
    <row r="485" spans="18:19" x14ac:dyDescent="0.25">
      <c r="R485">
        <v>482</v>
      </c>
      <c r="S485">
        <v>3018137.9207339124</v>
      </c>
    </row>
    <row r="486" spans="18:19" x14ac:dyDescent="0.25">
      <c r="R486">
        <v>483</v>
      </c>
      <c r="S486">
        <v>2752669.4317731396</v>
      </c>
    </row>
    <row r="487" spans="18:19" x14ac:dyDescent="0.25">
      <c r="R487">
        <v>484</v>
      </c>
      <c r="S487">
        <v>2834370.6607734947</v>
      </c>
    </row>
    <row r="488" spans="18:19" x14ac:dyDescent="0.25">
      <c r="R488">
        <v>485</v>
      </c>
      <c r="S488">
        <v>3442561.6578209433</v>
      </c>
    </row>
    <row r="489" spans="18:19" x14ac:dyDescent="0.25">
      <c r="R489">
        <v>486</v>
      </c>
      <c r="S489">
        <v>2202905.7426494001</v>
      </c>
    </row>
    <row r="490" spans="18:19" x14ac:dyDescent="0.25">
      <c r="R490">
        <v>487</v>
      </c>
      <c r="S490">
        <v>2592146.0783692766</v>
      </c>
    </row>
    <row r="491" spans="18:19" x14ac:dyDescent="0.25">
      <c r="R491">
        <v>488</v>
      </c>
      <c r="S491">
        <v>2315557.4317152789</v>
      </c>
    </row>
    <row r="492" spans="18:19" x14ac:dyDescent="0.25">
      <c r="R492">
        <v>489</v>
      </c>
      <c r="S492">
        <v>2555267.9856478227</v>
      </c>
    </row>
    <row r="493" spans="18:19" x14ac:dyDescent="0.25">
      <c r="R493">
        <v>490</v>
      </c>
      <c r="S493">
        <v>2822832.8105003638</v>
      </c>
    </row>
    <row r="494" spans="18:19" x14ac:dyDescent="0.25">
      <c r="R494">
        <v>491</v>
      </c>
      <c r="S494">
        <v>3007849.2822481007</v>
      </c>
    </row>
    <row r="495" spans="18:19" x14ac:dyDescent="0.25">
      <c r="R495">
        <v>492</v>
      </c>
      <c r="S495">
        <v>2889265.3264470198</v>
      </c>
    </row>
    <row r="496" spans="18:19" x14ac:dyDescent="0.25">
      <c r="R496">
        <v>493</v>
      </c>
      <c r="S496">
        <v>2127973.3371698987</v>
      </c>
    </row>
    <row r="497" spans="18:19" x14ac:dyDescent="0.25">
      <c r="R497">
        <v>494</v>
      </c>
      <c r="S497">
        <v>3079761.3706497317</v>
      </c>
    </row>
    <row r="498" spans="18:19" x14ac:dyDescent="0.25">
      <c r="R498">
        <v>495</v>
      </c>
      <c r="S498">
        <v>2597702.0627595214</v>
      </c>
    </row>
    <row r="499" spans="18:19" x14ac:dyDescent="0.25">
      <c r="R499">
        <v>496</v>
      </c>
      <c r="S499">
        <v>3155187.6695018974</v>
      </c>
    </row>
    <row r="500" spans="18:19" x14ac:dyDescent="0.25">
      <c r="R500">
        <v>497</v>
      </c>
      <c r="S500">
        <v>2911257.917564325</v>
      </c>
    </row>
    <row r="501" spans="18:19" x14ac:dyDescent="0.25">
      <c r="R501">
        <v>498</v>
      </c>
      <c r="S501">
        <v>2546876.6570466026</v>
      </c>
    </row>
    <row r="502" spans="18:19" x14ac:dyDescent="0.25">
      <c r="R502">
        <v>499</v>
      </c>
      <c r="S502">
        <v>2445572.0309661706</v>
      </c>
    </row>
    <row r="503" spans="18:19" x14ac:dyDescent="0.25">
      <c r="R503">
        <v>500</v>
      </c>
      <c r="S503">
        <v>2471663.0186312287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6f5cd4d-24ec-42e7-ad9f-90093df472f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DD0D9B7108674AA131C7FBD3E63986" ma:contentTypeVersion="18" ma:contentTypeDescription="Create a new document." ma:contentTypeScope="" ma:versionID="19c592dc36f0f6d3d5983cefaa61a8bc">
  <xsd:schema xmlns:xsd="http://www.w3.org/2001/XMLSchema" xmlns:xs="http://www.w3.org/2001/XMLSchema" xmlns:p="http://schemas.microsoft.com/office/2006/metadata/properties" xmlns:ns3="a6f5cd4d-24ec-42e7-ad9f-90093df472f4" xmlns:ns4="ec14d009-e21b-4928-836e-d38b29737fd4" targetNamespace="http://schemas.microsoft.com/office/2006/metadata/properties" ma:root="true" ma:fieldsID="540dada9574dbafa57d1f6b4a2ce0902" ns3:_="" ns4:_="">
    <xsd:import namespace="a6f5cd4d-24ec-42e7-ad9f-90093df472f4"/>
    <xsd:import namespace="ec14d009-e21b-4928-836e-d38b29737f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f5cd4d-24ec-42e7-ad9f-90093df472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14d009-e21b-4928-836e-d38b29737fd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2875714-861A-4EE6-B3E2-AC3AFB92DE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9D350C9-3D72-4E84-A45C-A6782A8E5019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ec14d009-e21b-4928-836e-d38b29737fd4"/>
    <ds:schemaRef ds:uri="http://schemas.microsoft.com/office/2006/metadata/properties"/>
    <ds:schemaRef ds:uri="http://purl.org/dc/elements/1.1/"/>
    <ds:schemaRef ds:uri="a6f5cd4d-24ec-42e7-ad9f-90093df472f4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E9081EB-0A26-45AE-A4E0-CF421F05EB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f5cd4d-24ec-42e7-ad9f-90093df472f4"/>
    <ds:schemaRef ds:uri="ec14d009-e21b-4928-836e-d38b29737f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Morton, Jr.</dc:creator>
  <cp:lastModifiedBy>Mark Morton, Jr.</cp:lastModifiedBy>
  <dcterms:created xsi:type="dcterms:W3CDTF">2024-08-11T15:37:36Z</dcterms:created>
  <dcterms:modified xsi:type="dcterms:W3CDTF">2024-08-13T16:08:21Z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0x0101004CDD0D9B7108674AA131C7FBD3E63986</vt:lpwstr>
  </property>
</Properties>
</file>